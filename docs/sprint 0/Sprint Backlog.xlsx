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workbook>
</file>

<file path=xl/sharedStrings.xml><?xml version="1.0" encoding="utf-8"?>
<sst xmlns="http://schemas.openxmlformats.org/spreadsheetml/2006/main" count="204" uniqueCount="89">
  <si>
    <t>Sprint Backlog</t>
  </si>
  <si>
    <t xml:space="preserve">Proyecto: </t>
  </si>
  <si>
    <t>ParkNow</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</si>
  <si>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</si>
  <si>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</si>
  <si>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</si>
  <si>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</si>
  <si>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</si>
  <si>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</si>
  <si>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</si>
  <si>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</si>
  <si>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</si>
  <si>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</si>
  <si>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</si>
  <si>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</si>
  <si>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</si>
  <si>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</si>
  <si>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</si>
  <si>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</si>
  <si>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</si>
  <si>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</si>
  <si>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</si>
  <si>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</si>
  <si>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</si>
  <si>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</si>
  <si>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</si>
  <si>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</si>
  <si>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</si>
  <si>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Prioridad</t>
  </si>
  <si>
    <t>Tarea Predecesora</t>
  </si>
  <si>
    <t>Estatus</t>
  </si>
  <si>
    <t>Horas estimadas totales</t>
  </si>
  <si>
    <t>Cons.</t>
  </si>
  <si>
    <t>Rest.</t>
  </si>
  <si>
    <t>I001</t>
  </si>
  <si>
    <t>Como diseñador, necesito crear la identidad visual para hacer cómoda la interacción de los usuarios finales</t>
  </si>
  <si>
    <t>Seleccionar de paleta de colores</t>
  </si>
  <si>
    <t>Baja</t>
  </si>
  <si>
    <t>Ninguna</t>
  </si>
  <si>
    <t>Terminada</t>
  </si>
  <si>
    <t>Seleccionar de fuentes</t>
  </si>
  <si>
    <t>Definir isotipo</t>
  </si>
  <si>
    <t>Definir imagotipo</t>
  </si>
  <si>
    <t>Definir look and feel del sistema</t>
  </si>
  <si>
    <t>Media</t>
  </si>
  <si>
    <t>Estructurar wireframing de paginas principales del administrador</t>
  </si>
  <si>
    <t>Definir interacciones del wireframing</t>
  </si>
  <si>
    <t>Manual de identidad</t>
  </si>
  <si>
    <t>I002</t>
  </si>
  <si>
    <t>Como arquitecto de software , necesito modelar la arquitectura del sistema para asegurar modularidad y consistencia</t>
  </si>
  <si>
    <t>Definir capas del sistema</t>
  </si>
  <si>
    <t>Alta</t>
  </si>
  <si>
    <t>Diseñar diagramas de capas</t>
  </si>
  <si>
    <t>Establecer reglas de relación entre capas</t>
  </si>
  <si>
    <t>Documentar decisiones</t>
  </si>
  <si>
    <t>I003</t>
  </si>
  <si>
    <t>Como arquitecto de datos , necesito modelar la base de datos del sistema para preservar y asegurar los datos a lo largo del tiempo</t>
  </si>
  <si>
    <t>Definir entidades principales</t>
  </si>
  <si>
    <t>Esteblacer relaciones entre entidades y atributos</t>
  </si>
  <si>
    <t>Normalizar modelo</t>
  </si>
  <si>
    <t>Definir restricciones</t>
  </si>
  <si>
    <t>Documentar modelo en diagramas</t>
  </si>
  <si>
    <t>I004</t>
  </si>
  <si>
    <t>Como administrador y usuario, necesito poder ingresar a mi aplicación por un apartado de registro o inicio de sesión</t>
  </si>
  <si>
    <t>Definir datos de registro de un nuevo usuario</t>
  </si>
  <si>
    <t>Diseñar una pagina inicial de bienvenida, inicio de sesión y registro (en caso de no tener una nueva cuenta)</t>
  </si>
  <si>
    <t>Desarrollar front y back</t>
  </si>
  <si>
    <t>Desarrollar pruebas unitarias y de pares</t>
  </si>
  <si>
    <t>Instalar producto en ambiente de preproducción</t>
  </si>
  <si>
    <t>Desarrollo de manuales de desarrollo</t>
  </si>
  <si>
    <t>I005</t>
  </si>
  <si>
    <t>Como administrador y usuario, necesito registrar parqueaderos en el sistema</t>
  </si>
  <si>
    <t>Definir datos de registro de un parqueadero</t>
  </si>
  <si>
    <t>Diseñar una página de registro de parqueaderos</t>
  </si>
  <si>
    <t>HORAS TOTALES</t>
  </si>
  <si>
    <t>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</si>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</sst>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2.0"/>
      <color theme="1"/>
      <name val="Calibri"/>
    </font>
    <font>
      <b/>
      <sz val="16.0"/>
      <color rgb="FF1F497D"/>
      <name val="Calibri"/>
    </font>
    <font>
      <b/>
      <sz val="11.0"/>
      <color theme="1"/>
      <name val="Calibri"/>
    </font>
    <font>
      <sz val="11.0"/>
      <color theme="0"/>
      <name val="Calibri"/>
    </font>
    <font/>
    <font>
      <color theme="1"/>
      <name val="Calibri"/>
      <scheme val="minor"/>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EFEFEF"/>
        <bgColor rgb="FFEFEFEF"/>
      </patternFill>
    </fill>
  </fills>
  <borders count="10">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Alignment="1" applyBorder="1" applyFont="1">
      <alignment readingOrder="0"/>
    </xf>
    <xf borderId="2" fillId="3" fontId="5" numFmtId="0" xfId="0" applyAlignment="1" applyBorder="1" applyFill="1" applyFont="1">
      <alignment horizontal="center" shrinkToFit="0" vertical="center" wrapText="1"/>
    </xf>
    <xf borderId="3" fillId="0" fontId="6" numFmtId="0" xfId="0" applyBorder="1" applyFont="1"/>
    <xf borderId="4" fillId="3" fontId="5" numFmtId="0" xfId="0" applyAlignment="1" applyBorder="1" applyFont="1">
      <alignment horizontal="center" shrinkToFit="0" vertical="center" wrapText="1"/>
    </xf>
    <xf borderId="5" fillId="3" fontId="5"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7" fillId="2" fontId="1" numFmtId="0" xfId="0" applyAlignment="1" applyBorder="1" applyFont="1">
      <alignment horizontal="lef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8" fillId="0" fontId="6" numFmtId="0" xfId="0" applyBorder="1" applyFont="1"/>
    <xf borderId="9" fillId="0" fontId="6" numFmtId="0" xfId="0" applyBorder="1" applyFont="1"/>
    <xf borderId="7" fillId="6" fontId="1" numFmtId="0" xfId="0" applyAlignment="1" applyBorder="1" applyFill="1" applyFont="1">
      <alignment horizontal="left" readingOrder="0" shrinkToFit="0" vertical="top" wrapText="1"/>
    </xf>
    <xf borderId="5" fillId="6" fontId="1" numFmtId="0" xfId="0" applyAlignment="1" applyBorder="1" applyFont="1">
      <alignment horizontal="left" readingOrder="0" shrinkToFit="0" vertical="top" wrapText="1"/>
    </xf>
    <xf borderId="5" fillId="6" fontId="1" numFmtId="0" xfId="0" applyAlignment="1" applyBorder="1" applyFont="1">
      <alignment horizontal="left" shrinkToFit="0" vertical="top" wrapText="1"/>
    </xf>
    <xf borderId="5" fillId="0" fontId="7" numFmtId="0" xfId="0" applyAlignment="1" applyBorder="1" applyFont="1">
      <alignment readingOrder="0" shrinkToFit="0" wrapText="1"/>
    </xf>
    <xf borderId="0" fillId="6" fontId="7" numFmtId="0" xfId="0" applyAlignment="1" applyFont="1">
      <alignment readingOrder="0" shrinkToFit="0" vertical="top" wrapText="1"/>
    </xf>
    <xf borderId="5" fillId="6" fontId="7" numFmtId="0" xfId="0" applyAlignment="1" applyBorder="1" applyFont="1">
      <alignment readingOrder="0" shrinkToFit="0" vertical="top" wrapText="1"/>
    </xf>
    <xf borderId="7" fillId="0" fontId="1" numFmtId="0" xfId="0" applyAlignment="1" applyBorder="1" applyFont="1">
      <alignment horizontal="left" readingOrder="0" shrinkToFit="0" vertical="top" wrapText="1"/>
    </xf>
    <xf borderId="0" fillId="0" fontId="7" numFmtId="0" xfId="0" applyAlignment="1" applyFont="1">
      <alignment readingOrder="0" shrinkToFit="0" vertical="top" wrapText="1"/>
    </xf>
    <xf borderId="5" fillId="0" fontId="1" numFmtId="0" xfId="0" applyAlignment="1" applyBorder="1" applyFont="1">
      <alignment horizontal="left" shrinkToFit="0" vertical="top" wrapText="1"/>
    </xf>
    <xf borderId="5" fillId="0" fontId="1" numFmtId="0" xfId="0" applyAlignment="1" applyBorder="1" applyFont="1">
      <alignment horizontal="left" readingOrder="0" shrinkToFit="0" vertical="top" wrapText="1"/>
    </xf>
    <xf borderId="1" fillId="2" fontId="1" numFmtId="0" xfId="0" applyAlignment="1" applyBorder="1" applyFont="1">
      <alignment readingOrder="0"/>
    </xf>
    <xf borderId="5" fillId="3"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3.0"/>
    <col customWidth="1" min="7" max="7" width="13.29"/>
    <col customWidth="1" min="8" max="8" width="15.86"/>
    <col customWidth="1" min="9" max="9" width="13.29"/>
    <col customWidth="1" min="10" max="10" width="5.86"/>
    <col customWidth="1" min="11" max="11" width="5.43"/>
    <col customWidth="1" min="12" max="12" width="2.71"/>
    <col customWidth="1" min="13" max="13" width="5.86"/>
    <col customWidth="1" min="14" max="14" width="5.43"/>
    <col customWidth="1" min="15" max="15" width="2.71"/>
    <col customWidth="1" min="16" max="16" width="5.86"/>
    <col customWidth="1" min="17" max="17" width="5.43"/>
    <col customWidth="1" min="18" max="18" width="2.71"/>
    <col customWidth="1" min="19" max="19" width="5.86"/>
    <col customWidth="1" min="20" max="20" width="5.43"/>
    <col customWidth="1" min="21" max="21" width="2.71"/>
    <col customWidth="1" min="22" max="22" width="5.86"/>
    <col customWidth="1" min="23" max="23" width="5.43"/>
    <col customWidth="1" min="24" max="24" width="2.71"/>
    <col customWidth="1" min="25" max="25" width="5.86"/>
    <col customWidth="1" min="26" max="26" width="5.43"/>
    <col customWidth="1" min="27" max="27" width="2.71"/>
    <col customWidth="1" min="28" max="28" width="5.86"/>
    <col customWidth="1" min="29" max="29" width="5.43"/>
    <col customWidth="1" min="30" max="30" width="2.71"/>
    <col customWidth="1" min="31" max="31" width="5.86"/>
    <col customWidth="1" min="32" max="32" width="5.43"/>
    <col customWidth="1" min="33" max="33" width="2.71"/>
    <col customWidth="1" min="34" max="34" width="5.86"/>
    <col customWidth="1" min="35" max="35" width="5.43"/>
    <col customWidth="1" min="36" max="36" width="2.71"/>
    <col customWidth="1" min="37" max="37" width="5.86"/>
    <col customWidth="1" min="38" max="38" width="5.43"/>
    <col customWidth="1" min="39" max="39" width="2.71"/>
    <col customWidth="1" min="40" max="40" width="5.86"/>
    <col customWidth="1" min="41" max="41" width="5.43"/>
    <col customWidth="1" min="42" max="42" width="2.71"/>
    <col customWidth="1" min="43" max="43" width="5.86"/>
    <col customWidth="1" min="44" max="44" width="5.43"/>
    <col customWidth="1" min="45" max="45" width="2.71"/>
    <col customWidth="1" min="46" max="46" width="5.86"/>
    <col customWidth="1" min="47" max="47" width="5.43"/>
    <col customWidth="1" min="48" max="48" width="2.71"/>
    <col customWidth="1" min="49" max="49" width="5.86"/>
    <col customWidth="1" min="50" max="50" width="5.43"/>
    <col customWidth="1" min="51" max="51" width="2.71"/>
    <col customWidth="1" min="52" max="52" width="5.86"/>
    <col customWidth="1" min="53" max="53" width="5.43"/>
    <col customWidth="1" min="54" max="54" width="2.71"/>
    <col customWidth="1" min="55" max="55" width="5.86"/>
    <col customWidth="1" min="56" max="56" width="5.43"/>
    <col customWidth="1" min="57" max="57" width="2.71"/>
    <col customWidth="1" min="58" max="58" width="5.86"/>
    <col customWidth="1" min="59" max="59" width="5.43"/>
    <col customWidth="1" min="60" max="60" width="2.71"/>
    <col customWidth="1" min="61" max="61" width="5.86"/>
    <col customWidth="1" min="62" max="62" width="5.43"/>
    <col customWidth="1" min="63" max="63" width="2.71"/>
    <col customWidth="1" min="64" max="64" width="5.86"/>
    <col customWidth="1" min="65" max="65" width="5.43"/>
    <col customWidth="1" min="66" max="66" width="2.71"/>
    <col customWidth="1" min="67" max="67" width="5.86"/>
    <col customWidth="1" min="68" max="68" width="5.43"/>
    <col customWidth="1" min="69" max="69" width="2.71"/>
    <col customWidth="1" min="70" max="70" width="5.86"/>
    <col customWidth="1" min="71" max="71"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row>
    <row r="2">
      <c r="A2" s="1"/>
      <c r="B2" s="3" t="s">
        <v>1</v>
      </c>
      <c r="C2" s="4" t="s">
        <v>2</v>
      </c>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row>
    <row r="3">
      <c r="A3" s="1"/>
      <c r="B3" s="1"/>
      <c r="C3" s="1"/>
      <c r="D3" s="1"/>
      <c r="E3" s="1"/>
      <c r="F3" s="1"/>
      <c r="G3" s="1"/>
      <c r="H3" s="1"/>
      <c r="I3" s="1"/>
      <c r="J3" s="5" t="s">
        <v>3</v>
      </c>
      <c r="K3" s="6"/>
      <c r="L3" s="7"/>
      <c r="M3" s="5" t="s">
        <v>4</v>
      </c>
      <c r="N3" s="6"/>
      <c r="O3" s="7"/>
      <c r="P3" s="5" t="s">
        <v>5</v>
      </c>
      <c r="Q3" s="6"/>
      <c r="R3" s="7"/>
      <c r="S3" s="5" t="s">
        <v>6</v>
      </c>
      <c r="T3" s="6"/>
      <c r="U3" s="7"/>
      <c r="V3" s="5" t="s">
        <v>7</v>
      </c>
      <c r="W3" s="6"/>
      <c r="X3" s="7"/>
      <c r="Y3" s="5" t="s">
        <v>8</v>
      </c>
      <c r="Z3" s="6"/>
      <c r="AA3" s="7"/>
      <c r="AB3" s="5" t="s">
        <v>9</v>
      </c>
      <c r="AC3" s="6"/>
      <c r="AD3" s="7"/>
      <c r="AE3" s="5" t="s">
        <v>10</v>
      </c>
      <c r="AF3" s="6"/>
      <c r="AG3" s="7"/>
      <c r="AH3" s="5" t="s">
        <v>11</v>
      </c>
      <c r="AI3" s="6"/>
      <c r="AJ3" s="7"/>
      <c r="AK3" s="5" t="s">
        <v>12</v>
      </c>
      <c r="AL3" s="6"/>
      <c r="AM3" s="7"/>
      <c r="AN3" s="5" t="s">
        <v>13</v>
      </c>
      <c r="AO3" s="6"/>
      <c r="AP3" s="7"/>
      <c r="AQ3" s="5" t="s">
        <v>14</v>
      </c>
      <c r="AR3" s="6"/>
      <c r="AS3" s="7"/>
      <c r="AT3" s="5" t="s">
        <v>15</v>
      </c>
      <c r="AU3" s="6"/>
      <c r="AV3" s="7"/>
      <c r="AW3" s="5" t="s">
        <v>16</v>
      </c>
      <c r="AX3" s="6"/>
      <c r="AY3" s="7"/>
      <c r="AZ3" s="5" t="s">
        <v>17</v>
      </c>
      <c r="BA3" s="6"/>
      <c r="BB3" s="7"/>
      <c r="BC3" s="5" t="s">
        <v>18</v>
      </c>
      <c r="BD3" s="6"/>
      <c r="BE3" s="7"/>
      <c r="BF3" s="5" t="s">
        <v>19</v>
      </c>
      <c r="BG3" s="6"/>
      <c r="BH3" s="7"/>
      <c r="BI3" s="5" t="s">
        <v>20</v>
      </c>
      <c r="BJ3" s="6"/>
      <c r="BK3" s="7"/>
      <c r="BL3" s="5" t="s">
        <v>21</v>
      </c>
      <c r="BM3" s="6"/>
      <c r="BN3" s="7"/>
      <c r="BO3" s="5" t="s">
        <v>22</v>
      </c>
      <c r="BP3" s="6"/>
      <c r="BQ3" s="7"/>
      <c r="BR3" s="5" t="s">
        <v>23</v>
      </c>
      <c r="BS3" s="6"/>
    </row>
    <row r="4">
      <c r="A4" s="1"/>
      <c r="B4" s="8" t="s">
        <v>24</v>
      </c>
      <c r="C4" s="8" t="s">
        <v>25</v>
      </c>
      <c r="D4" s="8" t="s">
        <v>26</v>
      </c>
      <c r="E4" s="8" t="s">
        <v>27</v>
      </c>
      <c r="F4" s="8" t="s">
        <v>28</v>
      </c>
      <c r="G4" s="8" t="s">
        <v>29</v>
      </c>
      <c r="H4" s="8" t="s">
        <v>30</v>
      </c>
      <c r="I4" s="8" t="s">
        <v>31</v>
      </c>
      <c r="J4" s="9" t="s">
        <v>32</v>
      </c>
      <c r="K4" s="9" t="s">
        <v>33</v>
      </c>
      <c r="L4" s="9"/>
      <c r="M4" s="9" t="s">
        <v>32</v>
      </c>
      <c r="N4" s="9" t="s">
        <v>33</v>
      </c>
      <c r="O4" s="9"/>
      <c r="P4" s="9" t="s">
        <v>32</v>
      </c>
      <c r="Q4" s="9" t="s">
        <v>33</v>
      </c>
      <c r="R4" s="9"/>
      <c r="S4" s="9" t="s">
        <v>32</v>
      </c>
      <c r="T4" s="9" t="s">
        <v>33</v>
      </c>
      <c r="U4" s="9"/>
      <c r="V4" s="9" t="s">
        <v>32</v>
      </c>
      <c r="W4" s="9" t="s">
        <v>33</v>
      </c>
      <c r="X4" s="9"/>
      <c r="Y4" s="9" t="s">
        <v>32</v>
      </c>
      <c r="Z4" s="9" t="s">
        <v>33</v>
      </c>
      <c r="AA4" s="9"/>
      <c r="AB4" s="9" t="s">
        <v>32</v>
      </c>
      <c r="AC4" s="9" t="s">
        <v>33</v>
      </c>
      <c r="AD4" s="9"/>
      <c r="AE4" s="9" t="s">
        <v>32</v>
      </c>
      <c r="AF4" s="9" t="s">
        <v>33</v>
      </c>
      <c r="AG4" s="9"/>
      <c r="AH4" s="9" t="s">
        <v>32</v>
      </c>
      <c r="AI4" s="9" t="s">
        <v>33</v>
      </c>
      <c r="AJ4" s="9"/>
      <c r="AK4" s="9" t="s">
        <v>32</v>
      </c>
      <c r="AL4" s="9" t="s">
        <v>33</v>
      </c>
      <c r="AM4" s="9"/>
      <c r="AN4" s="9" t="s">
        <v>32</v>
      </c>
      <c r="AO4" s="9" t="s">
        <v>33</v>
      </c>
      <c r="AP4" s="9"/>
      <c r="AQ4" s="9" t="s">
        <v>32</v>
      </c>
      <c r="AR4" s="9" t="s">
        <v>33</v>
      </c>
      <c r="AS4" s="9"/>
      <c r="AT4" s="9" t="s">
        <v>32</v>
      </c>
      <c r="AU4" s="9" t="s">
        <v>33</v>
      </c>
      <c r="AV4" s="9"/>
      <c r="AW4" s="9" t="s">
        <v>32</v>
      </c>
      <c r="AX4" s="9" t="s">
        <v>33</v>
      </c>
      <c r="AY4" s="9"/>
      <c r="AZ4" s="9" t="s">
        <v>32</v>
      </c>
      <c r="BA4" s="9" t="s">
        <v>33</v>
      </c>
      <c r="BB4" s="9"/>
      <c r="BC4" s="9" t="s">
        <v>32</v>
      </c>
      <c r="BD4" s="9" t="s">
        <v>33</v>
      </c>
      <c r="BE4" s="9"/>
      <c r="BF4" s="9" t="s">
        <v>32</v>
      </c>
      <c r="BG4" s="9" t="s">
        <v>33</v>
      </c>
      <c r="BH4" s="9"/>
      <c r="BI4" s="9" t="s">
        <v>32</v>
      </c>
      <c r="BJ4" s="9" t="s">
        <v>33</v>
      </c>
      <c r="BK4" s="9"/>
      <c r="BL4" s="9" t="s">
        <v>32</v>
      </c>
      <c r="BM4" s="9" t="s">
        <v>33</v>
      </c>
      <c r="BN4" s="9"/>
      <c r="BO4" s="9" t="s">
        <v>32</v>
      </c>
      <c r="BP4" s="9" t="s">
        <v>33</v>
      </c>
      <c r="BQ4" s="9"/>
      <c r="BR4" s="9" t="s">
        <v>32</v>
      </c>
      <c r="BS4" s="9" t="s">
        <v>33</v>
      </c>
    </row>
    <row r="5">
      <c r="A5" s="1"/>
      <c r="B5" s="10" t="s">
        <v>34</v>
      </c>
      <c r="C5" s="10" t="s">
        <v>35</v>
      </c>
      <c r="D5" s="11" t="s">
        <v>36</v>
      </c>
      <c r="E5" s="12"/>
      <c r="F5" s="11" t="s">
        <v>37</v>
      </c>
      <c r="G5" s="11" t="s">
        <v>38</v>
      </c>
      <c r="H5" s="11" t="s">
        <v>39</v>
      </c>
      <c r="I5" s="11">
        <v>0.5</v>
      </c>
      <c r="J5" s="13">
        <v>0.1</v>
      </c>
      <c r="K5" s="14">
        <f t="shared" ref="K5:K29" si="1">I5-J5</f>
        <v>0.4</v>
      </c>
      <c r="L5" s="15"/>
      <c r="M5" s="13">
        <v>0.4</v>
      </c>
      <c r="N5" s="14">
        <f t="shared" ref="N5:N29" si="2">K5-M5</f>
        <v>0</v>
      </c>
      <c r="O5" s="15"/>
      <c r="P5" s="14"/>
      <c r="Q5" s="14">
        <f t="shared" ref="Q5:Q29" si="3">N5-P5</f>
        <v>0</v>
      </c>
      <c r="R5" s="15"/>
      <c r="S5" s="14"/>
      <c r="T5" s="14">
        <f t="shared" ref="T5:T29" si="4">Q5-S5</f>
        <v>0</v>
      </c>
      <c r="U5" s="15"/>
      <c r="V5" s="14"/>
      <c r="W5" s="14">
        <f t="shared" ref="W5:W29" si="5">T5-V5</f>
        <v>0</v>
      </c>
      <c r="X5" s="15"/>
      <c r="Y5" s="14"/>
      <c r="Z5" s="14">
        <f t="shared" ref="Z5:Z29" si="6">W5-Y5</f>
        <v>0</v>
      </c>
      <c r="AA5" s="15"/>
      <c r="AB5" s="14"/>
      <c r="AC5" s="14">
        <f t="shared" ref="AC5:AC29" si="7">Z5-AB5</f>
        <v>0</v>
      </c>
      <c r="AD5" s="15"/>
      <c r="AE5" s="14"/>
      <c r="AF5" s="14">
        <f t="shared" ref="AF5:AF29" si="8">AC5-AE5</f>
        <v>0</v>
      </c>
      <c r="AG5" s="15"/>
      <c r="AH5" s="14"/>
      <c r="AI5" s="14">
        <f t="shared" ref="AI5:AI29" si="9">AF5-AH5</f>
        <v>0</v>
      </c>
      <c r="AJ5" s="15"/>
      <c r="AK5" s="14"/>
      <c r="AL5" s="14">
        <f t="shared" ref="AL5:AL29" si="10">AI5-AK5</f>
        <v>0</v>
      </c>
      <c r="AM5" s="15"/>
      <c r="AN5" s="14"/>
      <c r="AO5" s="14">
        <f t="shared" ref="AO5:AO29" si="11">AL5-AN5</f>
        <v>0</v>
      </c>
      <c r="AP5" s="15"/>
      <c r="AQ5" s="14"/>
      <c r="AR5" s="14">
        <f t="shared" ref="AR5:AR29" si="12">AO5-AQ5</f>
        <v>0</v>
      </c>
      <c r="AS5" s="15"/>
      <c r="AT5" s="14"/>
      <c r="AU5" s="14">
        <f t="shared" ref="AU5:AU29" si="13">AR5-AT5</f>
        <v>0</v>
      </c>
      <c r="AV5" s="15"/>
      <c r="AW5" s="14"/>
      <c r="AX5" s="14">
        <f t="shared" ref="AX5:AX29" si="14">AU5-AW5</f>
        <v>0</v>
      </c>
      <c r="AY5" s="15"/>
      <c r="AZ5" s="14"/>
      <c r="BA5" s="14">
        <f t="shared" ref="BA5:BA29" si="15">AX5-AZ5</f>
        <v>0</v>
      </c>
      <c r="BB5" s="15"/>
      <c r="BC5" s="14"/>
      <c r="BD5" s="14">
        <f t="shared" ref="BD5:BD29" si="16">BA5-BC5</f>
        <v>0</v>
      </c>
      <c r="BE5" s="15"/>
      <c r="BF5" s="14"/>
      <c r="BG5" s="14">
        <f t="shared" ref="BG5:BG29" si="17">BD5-BF5</f>
        <v>0</v>
      </c>
      <c r="BH5" s="15"/>
      <c r="BI5" s="14"/>
      <c r="BJ5" s="14">
        <f t="shared" ref="BJ5:BJ29" si="18">BG5-BI5</f>
        <v>0</v>
      </c>
      <c r="BK5" s="15"/>
      <c r="BL5" s="14"/>
      <c r="BM5" s="14">
        <f t="shared" ref="BM5:BM29" si="19">BJ5-BL5</f>
        <v>0</v>
      </c>
      <c r="BN5" s="15"/>
      <c r="BO5" s="14"/>
      <c r="BP5" s="14">
        <f t="shared" ref="BP5:BP29" si="20">BM5-BO5</f>
        <v>0</v>
      </c>
      <c r="BQ5" s="15"/>
      <c r="BR5" s="16">
        <f t="shared" ref="BR5:BR29" si="21">J5+M5+P5+S5+V5+Y5+AB5+AE5+AH5+AK5+AN5+AQ5+AT5+AW5+AZ5+BC5+BF5+BI5+BL5+BO5</f>
        <v>0.5</v>
      </c>
      <c r="BS5" s="16">
        <f t="shared" ref="BS5:BS29" si="22">I5-BR5</f>
        <v>0</v>
      </c>
    </row>
    <row r="6">
      <c r="A6" s="1"/>
      <c r="B6" s="17"/>
      <c r="C6" s="17"/>
      <c r="D6" s="11" t="s">
        <v>40</v>
      </c>
      <c r="E6" s="12"/>
      <c r="F6" s="11" t="s">
        <v>37</v>
      </c>
      <c r="G6" s="11" t="s">
        <v>38</v>
      </c>
      <c r="H6" s="11" t="s">
        <v>39</v>
      </c>
      <c r="I6" s="11">
        <v>0.5</v>
      </c>
      <c r="J6" s="13">
        <v>0.5</v>
      </c>
      <c r="K6" s="14">
        <f t="shared" si="1"/>
        <v>0</v>
      </c>
      <c r="L6" s="15"/>
      <c r="M6" s="14"/>
      <c r="N6" s="14">
        <f t="shared" si="2"/>
        <v>0</v>
      </c>
      <c r="O6" s="15"/>
      <c r="P6" s="14"/>
      <c r="Q6" s="14">
        <f t="shared" si="3"/>
        <v>0</v>
      </c>
      <c r="R6" s="15"/>
      <c r="S6" s="14"/>
      <c r="T6" s="14">
        <f t="shared" si="4"/>
        <v>0</v>
      </c>
      <c r="U6" s="15"/>
      <c r="V6" s="14"/>
      <c r="W6" s="14">
        <f t="shared" si="5"/>
        <v>0</v>
      </c>
      <c r="X6" s="15"/>
      <c r="Y6" s="14"/>
      <c r="Z6" s="14">
        <f t="shared" si="6"/>
        <v>0</v>
      </c>
      <c r="AA6" s="15"/>
      <c r="AB6" s="14"/>
      <c r="AC6" s="14">
        <f t="shared" si="7"/>
        <v>0</v>
      </c>
      <c r="AD6" s="15"/>
      <c r="AE6" s="14"/>
      <c r="AF6" s="14">
        <f t="shared" si="8"/>
        <v>0</v>
      </c>
      <c r="AG6" s="15"/>
      <c r="AH6" s="14"/>
      <c r="AI6" s="14">
        <f t="shared" si="9"/>
        <v>0</v>
      </c>
      <c r="AJ6" s="15"/>
      <c r="AK6" s="14"/>
      <c r="AL6" s="14">
        <f t="shared" si="10"/>
        <v>0</v>
      </c>
      <c r="AM6" s="15"/>
      <c r="AN6" s="14"/>
      <c r="AO6" s="14">
        <f t="shared" si="11"/>
        <v>0</v>
      </c>
      <c r="AP6" s="15"/>
      <c r="AQ6" s="14"/>
      <c r="AR6" s="14">
        <f t="shared" si="12"/>
        <v>0</v>
      </c>
      <c r="AS6" s="15"/>
      <c r="AT6" s="14"/>
      <c r="AU6" s="14">
        <f t="shared" si="13"/>
        <v>0</v>
      </c>
      <c r="AV6" s="15"/>
      <c r="AW6" s="14"/>
      <c r="AX6" s="14">
        <f t="shared" si="14"/>
        <v>0</v>
      </c>
      <c r="AY6" s="15"/>
      <c r="AZ6" s="14"/>
      <c r="BA6" s="14">
        <f t="shared" si="15"/>
        <v>0</v>
      </c>
      <c r="BB6" s="15"/>
      <c r="BC6" s="14"/>
      <c r="BD6" s="14">
        <f t="shared" si="16"/>
        <v>0</v>
      </c>
      <c r="BE6" s="15"/>
      <c r="BF6" s="14"/>
      <c r="BG6" s="14">
        <f t="shared" si="17"/>
        <v>0</v>
      </c>
      <c r="BH6" s="15"/>
      <c r="BI6" s="14"/>
      <c r="BJ6" s="14">
        <f t="shared" si="18"/>
        <v>0</v>
      </c>
      <c r="BK6" s="15"/>
      <c r="BL6" s="14"/>
      <c r="BM6" s="14">
        <f t="shared" si="19"/>
        <v>0</v>
      </c>
      <c r="BN6" s="15"/>
      <c r="BO6" s="14"/>
      <c r="BP6" s="14">
        <f t="shared" si="20"/>
        <v>0</v>
      </c>
      <c r="BQ6" s="15"/>
      <c r="BR6" s="16">
        <f t="shared" si="21"/>
        <v>0.5</v>
      </c>
      <c r="BS6" s="16">
        <f t="shared" si="22"/>
        <v>0</v>
      </c>
    </row>
    <row r="7">
      <c r="A7" s="1"/>
      <c r="B7" s="17"/>
      <c r="C7" s="17"/>
      <c r="D7" s="11" t="s">
        <v>41</v>
      </c>
      <c r="E7" s="12"/>
      <c r="F7" s="11" t="s">
        <v>37</v>
      </c>
      <c r="G7" s="11" t="s">
        <v>38</v>
      </c>
      <c r="H7" s="11" t="s">
        <v>39</v>
      </c>
      <c r="I7" s="11">
        <v>0.5</v>
      </c>
      <c r="J7" s="13">
        <v>0.5</v>
      </c>
      <c r="K7" s="14">
        <f t="shared" si="1"/>
        <v>0</v>
      </c>
      <c r="L7" s="15"/>
      <c r="M7" s="14"/>
      <c r="N7" s="14">
        <f t="shared" si="2"/>
        <v>0</v>
      </c>
      <c r="O7" s="15"/>
      <c r="P7" s="14"/>
      <c r="Q7" s="14">
        <f t="shared" si="3"/>
        <v>0</v>
      </c>
      <c r="R7" s="15"/>
      <c r="S7" s="14"/>
      <c r="T7" s="14">
        <f t="shared" si="4"/>
        <v>0</v>
      </c>
      <c r="U7" s="15"/>
      <c r="V7" s="14"/>
      <c r="W7" s="14">
        <f t="shared" si="5"/>
        <v>0</v>
      </c>
      <c r="X7" s="15"/>
      <c r="Y7" s="14"/>
      <c r="Z7" s="14">
        <f t="shared" si="6"/>
        <v>0</v>
      </c>
      <c r="AA7" s="15"/>
      <c r="AB7" s="14"/>
      <c r="AC7" s="14">
        <f t="shared" si="7"/>
        <v>0</v>
      </c>
      <c r="AD7" s="15"/>
      <c r="AE7" s="14"/>
      <c r="AF7" s="14">
        <f t="shared" si="8"/>
        <v>0</v>
      </c>
      <c r="AG7" s="15"/>
      <c r="AH7" s="14"/>
      <c r="AI7" s="14">
        <f t="shared" si="9"/>
        <v>0</v>
      </c>
      <c r="AJ7" s="15"/>
      <c r="AK7" s="14"/>
      <c r="AL7" s="14">
        <f t="shared" si="10"/>
        <v>0</v>
      </c>
      <c r="AM7" s="15"/>
      <c r="AN7" s="14"/>
      <c r="AO7" s="14">
        <f t="shared" si="11"/>
        <v>0</v>
      </c>
      <c r="AP7" s="15"/>
      <c r="AQ7" s="14"/>
      <c r="AR7" s="14">
        <f t="shared" si="12"/>
        <v>0</v>
      </c>
      <c r="AS7" s="15"/>
      <c r="AT7" s="14"/>
      <c r="AU7" s="14">
        <f t="shared" si="13"/>
        <v>0</v>
      </c>
      <c r="AV7" s="15"/>
      <c r="AW7" s="14"/>
      <c r="AX7" s="14">
        <f t="shared" si="14"/>
        <v>0</v>
      </c>
      <c r="AY7" s="15"/>
      <c r="AZ7" s="14"/>
      <c r="BA7" s="14">
        <f t="shared" si="15"/>
        <v>0</v>
      </c>
      <c r="BB7" s="15"/>
      <c r="BC7" s="14"/>
      <c r="BD7" s="14">
        <f t="shared" si="16"/>
        <v>0</v>
      </c>
      <c r="BE7" s="15"/>
      <c r="BF7" s="14"/>
      <c r="BG7" s="14">
        <f t="shared" si="17"/>
        <v>0</v>
      </c>
      <c r="BH7" s="15"/>
      <c r="BI7" s="14"/>
      <c r="BJ7" s="14">
        <f t="shared" si="18"/>
        <v>0</v>
      </c>
      <c r="BK7" s="15"/>
      <c r="BL7" s="14"/>
      <c r="BM7" s="14">
        <f t="shared" si="19"/>
        <v>0</v>
      </c>
      <c r="BN7" s="15"/>
      <c r="BO7" s="14"/>
      <c r="BP7" s="14">
        <f t="shared" si="20"/>
        <v>0</v>
      </c>
      <c r="BQ7" s="15"/>
      <c r="BR7" s="16">
        <f t="shared" si="21"/>
        <v>0.5</v>
      </c>
      <c r="BS7" s="16">
        <f t="shared" si="22"/>
        <v>0</v>
      </c>
    </row>
    <row r="8">
      <c r="A8" s="1"/>
      <c r="B8" s="17"/>
      <c r="C8" s="17"/>
      <c r="D8" s="11" t="s">
        <v>42</v>
      </c>
      <c r="E8" s="12"/>
      <c r="F8" s="11" t="s">
        <v>37</v>
      </c>
      <c r="G8" s="11" t="s">
        <v>38</v>
      </c>
      <c r="H8" s="11" t="s">
        <v>39</v>
      </c>
      <c r="I8" s="11">
        <v>0.5</v>
      </c>
      <c r="J8" s="13">
        <v>0.5</v>
      </c>
      <c r="K8" s="14">
        <f t="shared" si="1"/>
        <v>0</v>
      </c>
      <c r="L8" s="15"/>
      <c r="M8" s="14"/>
      <c r="N8" s="14">
        <f t="shared" si="2"/>
        <v>0</v>
      </c>
      <c r="O8" s="15"/>
      <c r="P8" s="14"/>
      <c r="Q8" s="14">
        <f t="shared" si="3"/>
        <v>0</v>
      </c>
      <c r="R8" s="15"/>
      <c r="S8" s="14"/>
      <c r="T8" s="14">
        <f t="shared" si="4"/>
        <v>0</v>
      </c>
      <c r="U8" s="15"/>
      <c r="V8" s="14"/>
      <c r="W8" s="14">
        <f t="shared" si="5"/>
        <v>0</v>
      </c>
      <c r="X8" s="15"/>
      <c r="Y8" s="14"/>
      <c r="Z8" s="14">
        <f t="shared" si="6"/>
        <v>0</v>
      </c>
      <c r="AA8" s="15"/>
      <c r="AB8" s="14"/>
      <c r="AC8" s="14">
        <f t="shared" si="7"/>
        <v>0</v>
      </c>
      <c r="AD8" s="15"/>
      <c r="AE8" s="14"/>
      <c r="AF8" s="14">
        <f t="shared" si="8"/>
        <v>0</v>
      </c>
      <c r="AG8" s="15"/>
      <c r="AH8" s="14"/>
      <c r="AI8" s="14">
        <f t="shared" si="9"/>
        <v>0</v>
      </c>
      <c r="AJ8" s="15"/>
      <c r="AK8" s="14"/>
      <c r="AL8" s="14">
        <f t="shared" si="10"/>
        <v>0</v>
      </c>
      <c r="AM8" s="15"/>
      <c r="AN8" s="14"/>
      <c r="AO8" s="14">
        <f t="shared" si="11"/>
        <v>0</v>
      </c>
      <c r="AP8" s="15"/>
      <c r="AQ8" s="14"/>
      <c r="AR8" s="14">
        <f t="shared" si="12"/>
        <v>0</v>
      </c>
      <c r="AS8" s="15"/>
      <c r="AT8" s="14"/>
      <c r="AU8" s="14">
        <f t="shared" si="13"/>
        <v>0</v>
      </c>
      <c r="AV8" s="15"/>
      <c r="AW8" s="14"/>
      <c r="AX8" s="14">
        <f t="shared" si="14"/>
        <v>0</v>
      </c>
      <c r="AY8" s="15"/>
      <c r="AZ8" s="14"/>
      <c r="BA8" s="14">
        <f t="shared" si="15"/>
        <v>0</v>
      </c>
      <c r="BB8" s="15"/>
      <c r="BC8" s="14"/>
      <c r="BD8" s="14">
        <f t="shared" si="16"/>
        <v>0</v>
      </c>
      <c r="BE8" s="15"/>
      <c r="BF8" s="14"/>
      <c r="BG8" s="14">
        <f t="shared" si="17"/>
        <v>0</v>
      </c>
      <c r="BH8" s="15"/>
      <c r="BI8" s="14"/>
      <c r="BJ8" s="14">
        <f t="shared" si="18"/>
        <v>0</v>
      </c>
      <c r="BK8" s="15"/>
      <c r="BL8" s="14"/>
      <c r="BM8" s="14">
        <f t="shared" si="19"/>
        <v>0</v>
      </c>
      <c r="BN8" s="15"/>
      <c r="BO8" s="14"/>
      <c r="BP8" s="14">
        <f t="shared" si="20"/>
        <v>0</v>
      </c>
      <c r="BQ8" s="15"/>
      <c r="BR8" s="16">
        <f t="shared" si="21"/>
        <v>0.5</v>
      </c>
      <c r="BS8" s="16">
        <f t="shared" si="22"/>
        <v>0</v>
      </c>
    </row>
    <row r="9">
      <c r="A9" s="1"/>
      <c r="B9" s="17"/>
      <c r="C9" s="17"/>
      <c r="D9" s="11" t="s">
        <v>43</v>
      </c>
      <c r="E9" s="12"/>
      <c r="F9" s="11" t="s">
        <v>44</v>
      </c>
      <c r="G9" s="11" t="s">
        <v>38</v>
      </c>
      <c r="H9" s="11" t="s">
        <v>39</v>
      </c>
      <c r="I9" s="11">
        <v>1.0</v>
      </c>
      <c r="J9" s="13">
        <v>0.25</v>
      </c>
      <c r="K9" s="14">
        <f t="shared" si="1"/>
        <v>0.75</v>
      </c>
      <c r="L9" s="15"/>
      <c r="M9" s="13">
        <v>0.5</v>
      </c>
      <c r="N9" s="14">
        <f t="shared" si="2"/>
        <v>0.25</v>
      </c>
      <c r="O9" s="15"/>
      <c r="P9" s="13">
        <v>0.25</v>
      </c>
      <c r="Q9" s="14">
        <f t="shared" si="3"/>
        <v>0</v>
      </c>
      <c r="R9" s="15"/>
      <c r="S9" s="14"/>
      <c r="T9" s="14">
        <f t="shared" si="4"/>
        <v>0</v>
      </c>
      <c r="U9" s="15"/>
      <c r="V9" s="14"/>
      <c r="W9" s="14">
        <f t="shared" si="5"/>
        <v>0</v>
      </c>
      <c r="X9" s="15"/>
      <c r="Y9" s="14"/>
      <c r="Z9" s="14">
        <f t="shared" si="6"/>
        <v>0</v>
      </c>
      <c r="AA9" s="15"/>
      <c r="AB9" s="14"/>
      <c r="AC9" s="14">
        <f t="shared" si="7"/>
        <v>0</v>
      </c>
      <c r="AD9" s="15"/>
      <c r="AE9" s="14"/>
      <c r="AF9" s="14">
        <f t="shared" si="8"/>
        <v>0</v>
      </c>
      <c r="AG9" s="15"/>
      <c r="AH9" s="14"/>
      <c r="AI9" s="14">
        <f t="shared" si="9"/>
        <v>0</v>
      </c>
      <c r="AJ9" s="15"/>
      <c r="AK9" s="14"/>
      <c r="AL9" s="14">
        <f t="shared" si="10"/>
        <v>0</v>
      </c>
      <c r="AM9" s="15"/>
      <c r="AN9" s="14"/>
      <c r="AO9" s="14">
        <f t="shared" si="11"/>
        <v>0</v>
      </c>
      <c r="AP9" s="15"/>
      <c r="AQ9" s="14"/>
      <c r="AR9" s="14">
        <f t="shared" si="12"/>
        <v>0</v>
      </c>
      <c r="AS9" s="15"/>
      <c r="AT9" s="14"/>
      <c r="AU9" s="14">
        <f t="shared" si="13"/>
        <v>0</v>
      </c>
      <c r="AV9" s="15"/>
      <c r="AW9" s="14"/>
      <c r="AX9" s="14">
        <f t="shared" si="14"/>
        <v>0</v>
      </c>
      <c r="AY9" s="15"/>
      <c r="AZ9" s="14"/>
      <c r="BA9" s="14">
        <f t="shared" si="15"/>
        <v>0</v>
      </c>
      <c r="BB9" s="15"/>
      <c r="BC9" s="14"/>
      <c r="BD9" s="14">
        <f t="shared" si="16"/>
        <v>0</v>
      </c>
      <c r="BE9" s="15"/>
      <c r="BF9" s="14"/>
      <c r="BG9" s="14">
        <f t="shared" si="17"/>
        <v>0</v>
      </c>
      <c r="BH9" s="15"/>
      <c r="BI9" s="14"/>
      <c r="BJ9" s="14">
        <f t="shared" si="18"/>
        <v>0</v>
      </c>
      <c r="BK9" s="15"/>
      <c r="BL9" s="14"/>
      <c r="BM9" s="14">
        <f t="shared" si="19"/>
        <v>0</v>
      </c>
      <c r="BN9" s="15"/>
      <c r="BO9" s="14"/>
      <c r="BP9" s="14">
        <f t="shared" si="20"/>
        <v>0</v>
      </c>
      <c r="BQ9" s="15"/>
      <c r="BR9" s="16">
        <f t="shared" si="21"/>
        <v>1</v>
      </c>
      <c r="BS9" s="16">
        <f t="shared" si="22"/>
        <v>0</v>
      </c>
    </row>
    <row r="10">
      <c r="A10" s="1"/>
      <c r="B10" s="17"/>
      <c r="C10" s="17"/>
      <c r="D10" s="11" t="s">
        <v>45</v>
      </c>
      <c r="E10" s="12"/>
      <c r="F10" s="11" t="s">
        <v>44</v>
      </c>
      <c r="G10" s="11" t="s">
        <v>38</v>
      </c>
      <c r="H10" s="11" t="s">
        <v>39</v>
      </c>
      <c r="I10" s="11">
        <v>2.0</v>
      </c>
      <c r="J10" s="14"/>
      <c r="K10" s="14">
        <f t="shared" si="1"/>
        <v>2</v>
      </c>
      <c r="L10" s="15"/>
      <c r="M10" s="14"/>
      <c r="N10" s="14">
        <f t="shared" si="2"/>
        <v>2</v>
      </c>
      <c r="O10" s="15"/>
      <c r="P10" s="13">
        <v>1.0</v>
      </c>
      <c r="Q10" s="14">
        <f t="shared" si="3"/>
        <v>1</v>
      </c>
      <c r="R10" s="15"/>
      <c r="S10" s="13">
        <v>1.0</v>
      </c>
      <c r="T10" s="14">
        <f t="shared" si="4"/>
        <v>0</v>
      </c>
      <c r="U10" s="15"/>
      <c r="V10" s="13"/>
      <c r="W10" s="14">
        <f t="shared" si="5"/>
        <v>0</v>
      </c>
      <c r="X10" s="15"/>
      <c r="Y10" s="13"/>
      <c r="Z10" s="14">
        <f t="shared" si="6"/>
        <v>0</v>
      </c>
      <c r="AA10" s="15"/>
      <c r="AB10" s="14"/>
      <c r="AC10" s="14">
        <f t="shared" si="7"/>
        <v>0</v>
      </c>
      <c r="AD10" s="15"/>
      <c r="AE10" s="14"/>
      <c r="AF10" s="14">
        <f t="shared" si="8"/>
        <v>0</v>
      </c>
      <c r="AG10" s="15"/>
      <c r="AH10" s="14"/>
      <c r="AI10" s="14">
        <f t="shared" si="9"/>
        <v>0</v>
      </c>
      <c r="AJ10" s="15"/>
      <c r="AK10" s="14"/>
      <c r="AL10" s="14">
        <f t="shared" si="10"/>
        <v>0</v>
      </c>
      <c r="AM10" s="15"/>
      <c r="AN10" s="14"/>
      <c r="AO10" s="14">
        <f t="shared" si="11"/>
        <v>0</v>
      </c>
      <c r="AP10" s="15"/>
      <c r="AQ10" s="14"/>
      <c r="AR10" s="14">
        <f t="shared" si="12"/>
        <v>0</v>
      </c>
      <c r="AS10" s="15"/>
      <c r="AT10" s="14"/>
      <c r="AU10" s="14">
        <f t="shared" si="13"/>
        <v>0</v>
      </c>
      <c r="AV10" s="15"/>
      <c r="AW10" s="14"/>
      <c r="AX10" s="14">
        <f t="shared" si="14"/>
        <v>0</v>
      </c>
      <c r="AY10" s="15"/>
      <c r="AZ10" s="14"/>
      <c r="BA10" s="14">
        <f t="shared" si="15"/>
        <v>0</v>
      </c>
      <c r="BB10" s="15"/>
      <c r="BC10" s="14"/>
      <c r="BD10" s="14">
        <f t="shared" si="16"/>
        <v>0</v>
      </c>
      <c r="BE10" s="15"/>
      <c r="BF10" s="14"/>
      <c r="BG10" s="14">
        <f t="shared" si="17"/>
        <v>0</v>
      </c>
      <c r="BH10" s="15"/>
      <c r="BI10" s="14"/>
      <c r="BJ10" s="14">
        <f t="shared" si="18"/>
        <v>0</v>
      </c>
      <c r="BK10" s="15"/>
      <c r="BL10" s="14"/>
      <c r="BM10" s="14">
        <f t="shared" si="19"/>
        <v>0</v>
      </c>
      <c r="BN10" s="15"/>
      <c r="BO10" s="14"/>
      <c r="BP10" s="14">
        <f t="shared" si="20"/>
        <v>0</v>
      </c>
      <c r="BQ10" s="15"/>
      <c r="BR10" s="16">
        <f t="shared" si="21"/>
        <v>2</v>
      </c>
      <c r="BS10" s="16">
        <f t="shared" si="22"/>
        <v>0</v>
      </c>
    </row>
    <row r="11">
      <c r="A11" s="1"/>
      <c r="B11" s="17"/>
      <c r="C11" s="17"/>
      <c r="D11" s="11" t="s">
        <v>46</v>
      </c>
      <c r="E11" s="12"/>
      <c r="F11" s="11" t="s">
        <v>44</v>
      </c>
      <c r="G11" s="11" t="s">
        <v>38</v>
      </c>
      <c r="H11" s="11" t="s">
        <v>39</v>
      </c>
      <c r="I11" s="11">
        <v>1.0</v>
      </c>
      <c r="J11" s="14"/>
      <c r="K11" s="14">
        <f t="shared" si="1"/>
        <v>1</v>
      </c>
      <c r="L11" s="15"/>
      <c r="M11" s="14"/>
      <c r="N11" s="14">
        <f t="shared" si="2"/>
        <v>1</v>
      </c>
      <c r="O11" s="15"/>
      <c r="P11" s="14"/>
      <c r="Q11" s="14">
        <f t="shared" si="3"/>
        <v>1</v>
      </c>
      <c r="R11" s="15"/>
      <c r="S11" s="13">
        <v>1.0</v>
      </c>
      <c r="T11" s="14">
        <f t="shared" si="4"/>
        <v>0</v>
      </c>
      <c r="U11" s="15"/>
      <c r="V11" s="14"/>
      <c r="W11" s="14">
        <f t="shared" si="5"/>
        <v>0</v>
      </c>
      <c r="X11" s="15"/>
      <c r="Y11" s="14"/>
      <c r="Z11" s="14">
        <f t="shared" si="6"/>
        <v>0</v>
      </c>
      <c r="AA11" s="15"/>
      <c r="AB11" s="14"/>
      <c r="AC11" s="14">
        <f t="shared" si="7"/>
        <v>0</v>
      </c>
      <c r="AD11" s="15"/>
      <c r="AE11" s="14"/>
      <c r="AF11" s="14">
        <f t="shared" si="8"/>
        <v>0</v>
      </c>
      <c r="AG11" s="15"/>
      <c r="AH11" s="14"/>
      <c r="AI11" s="14">
        <f t="shared" si="9"/>
        <v>0</v>
      </c>
      <c r="AJ11" s="15"/>
      <c r="AK11" s="14"/>
      <c r="AL11" s="14">
        <f t="shared" si="10"/>
        <v>0</v>
      </c>
      <c r="AM11" s="15"/>
      <c r="AN11" s="14"/>
      <c r="AO11" s="14">
        <f t="shared" si="11"/>
        <v>0</v>
      </c>
      <c r="AP11" s="15"/>
      <c r="AQ11" s="14"/>
      <c r="AR11" s="14">
        <f t="shared" si="12"/>
        <v>0</v>
      </c>
      <c r="AS11" s="15"/>
      <c r="AT11" s="14"/>
      <c r="AU11" s="14">
        <f t="shared" si="13"/>
        <v>0</v>
      </c>
      <c r="AV11" s="15"/>
      <c r="AW11" s="14"/>
      <c r="AX11" s="14">
        <f t="shared" si="14"/>
        <v>0</v>
      </c>
      <c r="AY11" s="15"/>
      <c r="AZ11" s="14"/>
      <c r="BA11" s="14">
        <f t="shared" si="15"/>
        <v>0</v>
      </c>
      <c r="BB11" s="15"/>
      <c r="BC11" s="14"/>
      <c r="BD11" s="14">
        <f t="shared" si="16"/>
        <v>0</v>
      </c>
      <c r="BE11" s="15"/>
      <c r="BF11" s="14"/>
      <c r="BG11" s="14">
        <f t="shared" si="17"/>
        <v>0</v>
      </c>
      <c r="BH11" s="15"/>
      <c r="BI11" s="14"/>
      <c r="BJ11" s="14">
        <f t="shared" si="18"/>
        <v>0</v>
      </c>
      <c r="BK11" s="15"/>
      <c r="BL11" s="14"/>
      <c r="BM11" s="14">
        <f t="shared" si="19"/>
        <v>0</v>
      </c>
      <c r="BN11" s="15"/>
      <c r="BO11" s="14"/>
      <c r="BP11" s="14">
        <f t="shared" si="20"/>
        <v>0</v>
      </c>
      <c r="BQ11" s="15"/>
      <c r="BR11" s="16">
        <f t="shared" si="21"/>
        <v>1</v>
      </c>
      <c r="BS11" s="16">
        <f t="shared" si="22"/>
        <v>0</v>
      </c>
    </row>
    <row r="12">
      <c r="A12" s="1"/>
      <c r="B12" s="18"/>
      <c r="C12" s="18"/>
      <c r="D12" s="11" t="s">
        <v>47</v>
      </c>
      <c r="E12" s="12"/>
      <c r="F12" s="11" t="s">
        <v>37</v>
      </c>
      <c r="G12" s="11"/>
      <c r="H12" s="11" t="s">
        <v>39</v>
      </c>
      <c r="I12" s="11">
        <v>4.0</v>
      </c>
      <c r="J12" s="13">
        <v>1.0</v>
      </c>
      <c r="K12" s="14">
        <f t="shared" si="1"/>
        <v>3</v>
      </c>
      <c r="L12" s="15"/>
      <c r="M12" s="13">
        <v>2.0</v>
      </c>
      <c r="N12" s="14">
        <f t="shared" si="2"/>
        <v>1</v>
      </c>
      <c r="O12" s="15"/>
      <c r="P12" s="13">
        <v>0.5</v>
      </c>
      <c r="Q12" s="14">
        <f t="shared" si="3"/>
        <v>0.5</v>
      </c>
      <c r="R12" s="15"/>
      <c r="S12" s="13">
        <v>0.5</v>
      </c>
      <c r="T12" s="14">
        <f t="shared" si="4"/>
        <v>0</v>
      </c>
      <c r="U12" s="15"/>
      <c r="V12" s="14"/>
      <c r="W12" s="14">
        <f t="shared" si="5"/>
        <v>0</v>
      </c>
      <c r="X12" s="15"/>
      <c r="Y12" s="14"/>
      <c r="Z12" s="14">
        <f t="shared" si="6"/>
        <v>0</v>
      </c>
      <c r="AA12" s="15"/>
      <c r="AB12" s="14"/>
      <c r="AC12" s="14">
        <f t="shared" si="7"/>
        <v>0</v>
      </c>
      <c r="AD12" s="15"/>
      <c r="AE12" s="14"/>
      <c r="AF12" s="14">
        <f t="shared" si="8"/>
        <v>0</v>
      </c>
      <c r="AG12" s="15"/>
      <c r="AH12" s="14"/>
      <c r="AI12" s="14">
        <f t="shared" si="9"/>
        <v>0</v>
      </c>
      <c r="AJ12" s="15"/>
      <c r="AK12" s="14"/>
      <c r="AL12" s="14">
        <f t="shared" si="10"/>
        <v>0</v>
      </c>
      <c r="AM12" s="15"/>
      <c r="AN12" s="14"/>
      <c r="AO12" s="14">
        <f t="shared" si="11"/>
        <v>0</v>
      </c>
      <c r="AP12" s="15"/>
      <c r="AQ12" s="14"/>
      <c r="AR12" s="14">
        <f t="shared" si="12"/>
        <v>0</v>
      </c>
      <c r="AS12" s="15"/>
      <c r="AT12" s="14"/>
      <c r="AU12" s="14">
        <f t="shared" si="13"/>
        <v>0</v>
      </c>
      <c r="AV12" s="15"/>
      <c r="AW12" s="14"/>
      <c r="AX12" s="14">
        <f t="shared" si="14"/>
        <v>0</v>
      </c>
      <c r="AY12" s="15"/>
      <c r="AZ12" s="14"/>
      <c r="BA12" s="14">
        <f t="shared" si="15"/>
        <v>0</v>
      </c>
      <c r="BB12" s="15"/>
      <c r="BC12" s="14"/>
      <c r="BD12" s="14">
        <f t="shared" si="16"/>
        <v>0</v>
      </c>
      <c r="BE12" s="15"/>
      <c r="BF12" s="14"/>
      <c r="BG12" s="14">
        <f t="shared" si="17"/>
        <v>0</v>
      </c>
      <c r="BH12" s="15"/>
      <c r="BI12" s="14"/>
      <c r="BJ12" s="14">
        <f t="shared" si="18"/>
        <v>0</v>
      </c>
      <c r="BK12" s="15"/>
      <c r="BL12" s="14"/>
      <c r="BM12" s="14">
        <f t="shared" si="19"/>
        <v>0</v>
      </c>
      <c r="BN12" s="15"/>
      <c r="BO12" s="14"/>
      <c r="BP12" s="14">
        <f t="shared" si="20"/>
        <v>0</v>
      </c>
      <c r="BQ12" s="15"/>
      <c r="BR12" s="16">
        <f t="shared" si="21"/>
        <v>4</v>
      </c>
      <c r="BS12" s="16">
        <f t="shared" si="22"/>
        <v>0</v>
      </c>
    </row>
    <row r="13">
      <c r="A13" s="1"/>
      <c r="B13" s="19" t="s">
        <v>48</v>
      </c>
      <c r="C13" s="19" t="s">
        <v>49</v>
      </c>
      <c r="D13" s="20" t="s">
        <v>50</v>
      </c>
      <c r="E13" s="21"/>
      <c r="F13" s="20" t="s">
        <v>51</v>
      </c>
      <c r="G13" s="20" t="s">
        <v>38</v>
      </c>
      <c r="H13" s="20" t="s">
        <v>39</v>
      </c>
      <c r="I13" s="11">
        <v>2.0</v>
      </c>
      <c r="J13" s="13">
        <v>0.0</v>
      </c>
      <c r="K13" s="14">
        <f t="shared" si="1"/>
        <v>2</v>
      </c>
      <c r="L13" s="15"/>
      <c r="M13" s="13">
        <v>0.0</v>
      </c>
      <c r="N13" s="14">
        <f t="shared" si="2"/>
        <v>2</v>
      </c>
      <c r="O13" s="15"/>
      <c r="P13" s="13">
        <v>0.0</v>
      </c>
      <c r="Q13" s="14">
        <f t="shared" si="3"/>
        <v>2</v>
      </c>
      <c r="R13" s="15"/>
      <c r="S13" s="13">
        <v>2.0</v>
      </c>
      <c r="T13" s="14">
        <f t="shared" si="4"/>
        <v>0</v>
      </c>
      <c r="U13" s="15"/>
      <c r="V13" s="14"/>
      <c r="W13" s="14">
        <f t="shared" si="5"/>
        <v>0</v>
      </c>
      <c r="X13" s="15"/>
      <c r="Y13" s="14"/>
      <c r="Z13" s="14">
        <f t="shared" si="6"/>
        <v>0</v>
      </c>
      <c r="AA13" s="15"/>
      <c r="AB13" s="14"/>
      <c r="AC13" s="14">
        <f t="shared" si="7"/>
        <v>0</v>
      </c>
      <c r="AD13" s="15"/>
      <c r="AE13" s="14"/>
      <c r="AF13" s="14">
        <f t="shared" si="8"/>
        <v>0</v>
      </c>
      <c r="AG13" s="15"/>
      <c r="AH13" s="14"/>
      <c r="AI13" s="14">
        <f t="shared" si="9"/>
        <v>0</v>
      </c>
      <c r="AJ13" s="15"/>
      <c r="AK13" s="14"/>
      <c r="AL13" s="14">
        <f t="shared" si="10"/>
        <v>0</v>
      </c>
      <c r="AM13" s="15"/>
      <c r="AN13" s="14"/>
      <c r="AO13" s="14">
        <f t="shared" si="11"/>
        <v>0</v>
      </c>
      <c r="AP13" s="15"/>
      <c r="AQ13" s="14"/>
      <c r="AR13" s="14">
        <f t="shared" si="12"/>
        <v>0</v>
      </c>
      <c r="AS13" s="15"/>
      <c r="AT13" s="14"/>
      <c r="AU13" s="14">
        <f t="shared" si="13"/>
        <v>0</v>
      </c>
      <c r="AV13" s="15"/>
      <c r="AW13" s="14"/>
      <c r="AX13" s="14">
        <f t="shared" si="14"/>
        <v>0</v>
      </c>
      <c r="AY13" s="15"/>
      <c r="AZ13" s="14"/>
      <c r="BA13" s="14">
        <f t="shared" si="15"/>
        <v>0</v>
      </c>
      <c r="BB13" s="15"/>
      <c r="BC13" s="14"/>
      <c r="BD13" s="14">
        <f t="shared" si="16"/>
        <v>0</v>
      </c>
      <c r="BE13" s="15"/>
      <c r="BF13" s="14"/>
      <c r="BG13" s="14">
        <f t="shared" si="17"/>
        <v>0</v>
      </c>
      <c r="BH13" s="15"/>
      <c r="BI13" s="14"/>
      <c r="BJ13" s="14">
        <f t="shared" si="18"/>
        <v>0</v>
      </c>
      <c r="BK13" s="15"/>
      <c r="BL13" s="14"/>
      <c r="BM13" s="14">
        <f t="shared" si="19"/>
        <v>0</v>
      </c>
      <c r="BN13" s="15"/>
      <c r="BO13" s="14"/>
      <c r="BP13" s="14">
        <f t="shared" si="20"/>
        <v>0</v>
      </c>
      <c r="BQ13" s="15"/>
      <c r="BR13" s="16">
        <f t="shared" si="21"/>
        <v>2</v>
      </c>
      <c r="BS13" s="16">
        <f t="shared" si="22"/>
        <v>0</v>
      </c>
    </row>
    <row r="14">
      <c r="A14" s="1"/>
      <c r="B14" s="17"/>
      <c r="C14" s="17"/>
      <c r="D14" s="20" t="s">
        <v>52</v>
      </c>
      <c r="E14" s="21"/>
      <c r="F14" s="20" t="s">
        <v>44</v>
      </c>
      <c r="G14" s="20" t="s">
        <v>38</v>
      </c>
      <c r="H14" s="20" t="s">
        <v>39</v>
      </c>
      <c r="I14" s="11">
        <v>2.0</v>
      </c>
      <c r="J14" s="13">
        <v>0.0</v>
      </c>
      <c r="K14" s="14">
        <f t="shared" si="1"/>
        <v>2</v>
      </c>
      <c r="L14" s="15"/>
      <c r="M14" s="13">
        <v>0.0</v>
      </c>
      <c r="N14" s="14">
        <f t="shared" si="2"/>
        <v>2</v>
      </c>
      <c r="O14" s="15"/>
      <c r="P14" s="13">
        <v>1.0</v>
      </c>
      <c r="Q14" s="14">
        <f t="shared" si="3"/>
        <v>1</v>
      </c>
      <c r="R14" s="15"/>
      <c r="S14" s="13">
        <v>1.0</v>
      </c>
      <c r="T14" s="14">
        <f t="shared" si="4"/>
        <v>0</v>
      </c>
      <c r="U14" s="15"/>
      <c r="V14" s="14"/>
      <c r="W14" s="14">
        <f t="shared" si="5"/>
        <v>0</v>
      </c>
      <c r="X14" s="15"/>
      <c r="Y14" s="14"/>
      <c r="Z14" s="14">
        <f t="shared" si="6"/>
        <v>0</v>
      </c>
      <c r="AA14" s="15"/>
      <c r="AB14" s="14"/>
      <c r="AC14" s="14">
        <f t="shared" si="7"/>
        <v>0</v>
      </c>
      <c r="AD14" s="15"/>
      <c r="AE14" s="14"/>
      <c r="AF14" s="14">
        <f t="shared" si="8"/>
        <v>0</v>
      </c>
      <c r="AG14" s="15"/>
      <c r="AH14" s="14"/>
      <c r="AI14" s="14">
        <f t="shared" si="9"/>
        <v>0</v>
      </c>
      <c r="AJ14" s="15"/>
      <c r="AK14" s="14"/>
      <c r="AL14" s="14">
        <f t="shared" si="10"/>
        <v>0</v>
      </c>
      <c r="AM14" s="15"/>
      <c r="AN14" s="14"/>
      <c r="AO14" s="14">
        <f t="shared" si="11"/>
        <v>0</v>
      </c>
      <c r="AP14" s="15"/>
      <c r="AQ14" s="14"/>
      <c r="AR14" s="14">
        <f t="shared" si="12"/>
        <v>0</v>
      </c>
      <c r="AS14" s="15"/>
      <c r="AT14" s="14"/>
      <c r="AU14" s="14">
        <f t="shared" si="13"/>
        <v>0</v>
      </c>
      <c r="AV14" s="15"/>
      <c r="AW14" s="14"/>
      <c r="AX14" s="14">
        <f t="shared" si="14"/>
        <v>0</v>
      </c>
      <c r="AY14" s="15"/>
      <c r="AZ14" s="14"/>
      <c r="BA14" s="14">
        <f t="shared" si="15"/>
        <v>0</v>
      </c>
      <c r="BB14" s="15"/>
      <c r="BC14" s="14"/>
      <c r="BD14" s="14">
        <f t="shared" si="16"/>
        <v>0</v>
      </c>
      <c r="BE14" s="15"/>
      <c r="BF14" s="14"/>
      <c r="BG14" s="14">
        <f t="shared" si="17"/>
        <v>0</v>
      </c>
      <c r="BH14" s="15"/>
      <c r="BI14" s="14"/>
      <c r="BJ14" s="14">
        <f t="shared" si="18"/>
        <v>0</v>
      </c>
      <c r="BK14" s="15"/>
      <c r="BL14" s="14"/>
      <c r="BM14" s="14">
        <f t="shared" si="19"/>
        <v>0</v>
      </c>
      <c r="BN14" s="15"/>
      <c r="BO14" s="14"/>
      <c r="BP14" s="14">
        <f t="shared" si="20"/>
        <v>0</v>
      </c>
      <c r="BQ14" s="15"/>
      <c r="BR14" s="16">
        <f t="shared" si="21"/>
        <v>2</v>
      </c>
      <c r="BS14" s="16">
        <f t="shared" si="22"/>
        <v>0</v>
      </c>
    </row>
    <row r="15">
      <c r="A15" s="1"/>
      <c r="B15" s="17"/>
      <c r="C15" s="17"/>
      <c r="D15" s="20" t="s">
        <v>53</v>
      </c>
      <c r="E15" s="21"/>
      <c r="F15" s="20" t="s">
        <v>51</v>
      </c>
      <c r="G15" s="20" t="s">
        <v>38</v>
      </c>
      <c r="H15" s="20" t="s">
        <v>39</v>
      </c>
      <c r="I15" s="11">
        <v>1.0</v>
      </c>
      <c r="J15" s="13">
        <v>0.0</v>
      </c>
      <c r="K15" s="14">
        <f t="shared" si="1"/>
        <v>1</v>
      </c>
      <c r="L15" s="15"/>
      <c r="M15" s="13">
        <v>0.0</v>
      </c>
      <c r="N15" s="14">
        <f t="shared" si="2"/>
        <v>1</v>
      </c>
      <c r="O15" s="15"/>
      <c r="P15" s="13">
        <v>0.0</v>
      </c>
      <c r="Q15" s="14">
        <f t="shared" si="3"/>
        <v>1</v>
      </c>
      <c r="R15" s="15"/>
      <c r="S15" s="13">
        <v>1.0</v>
      </c>
      <c r="T15" s="14">
        <f t="shared" si="4"/>
        <v>0</v>
      </c>
      <c r="U15" s="15"/>
      <c r="V15" s="14"/>
      <c r="W15" s="14">
        <f t="shared" si="5"/>
        <v>0</v>
      </c>
      <c r="X15" s="15"/>
      <c r="Y15" s="14"/>
      <c r="Z15" s="14">
        <f t="shared" si="6"/>
        <v>0</v>
      </c>
      <c r="AA15" s="15"/>
      <c r="AB15" s="14"/>
      <c r="AC15" s="14">
        <f t="shared" si="7"/>
        <v>0</v>
      </c>
      <c r="AD15" s="15"/>
      <c r="AE15" s="14"/>
      <c r="AF15" s="14">
        <f t="shared" si="8"/>
        <v>0</v>
      </c>
      <c r="AG15" s="15"/>
      <c r="AH15" s="14"/>
      <c r="AI15" s="14">
        <f t="shared" si="9"/>
        <v>0</v>
      </c>
      <c r="AJ15" s="15"/>
      <c r="AK15" s="14"/>
      <c r="AL15" s="14">
        <f t="shared" si="10"/>
        <v>0</v>
      </c>
      <c r="AM15" s="15"/>
      <c r="AN15" s="14"/>
      <c r="AO15" s="14">
        <f t="shared" si="11"/>
        <v>0</v>
      </c>
      <c r="AP15" s="15"/>
      <c r="AQ15" s="14"/>
      <c r="AR15" s="14">
        <f t="shared" si="12"/>
        <v>0</v>
      </c>
      <c r="AS15" s="15"/>
      <c r="AT15" s="14"/>
      <c r="AU15" s="14">
        <f t="shared" si="13"/>
        <v>0</v>
      </c>
      <c r="AV15" s="15"/>
      <c r="AW15" s="14"/>
      <c r="AX15" s="14">
        <f t="shared" si="14"/>
        <v>0</v>
      </c>
      <c r="AY15" s="15"/>
      <c r="AZ15" s="14"/>
      <c r="BA15" s="14">
        <f t="shared" si="15"/>
        <v>0</v>
      </c>
      <c r="BB15" s="15"/>
      <c r="BC15" s="14"/>
      <c r="BD15" s="14">
        <f t="shared" si="16"/>
        <v>0</v>
      </c>
      <c r="BE15" s="15"/>
      <c r="BF15" s="14"/>
      <c r="BG15" s="14">
        <f t="shared" si="17"/>
        <v>0</v>
      </c>
      <c r="BH15" s="15"/>
      <c r="BI15" s="14"/>
      <c r="BJ15" s="14">
        <f t="shared" si="18"/>
        <v>0</v>
      </c>
      <c r="BK15" s="15"/>
      <c r="BL15" s="14"/>
      <c r="BM15" s="14">
        <f t="shared" si="19"/>
        <v>0</v>
      </c>
      <c r="BN15" s="15"/>
      <c r="BO15" s="14"/>
      <c r="BP15" s="14">
        <f t="shared" si="20"/>
        <v>0</v>
      </c>
      <c r="BQ15" s="15"/>
      <c r="BR15" s="16">
        <f t="shared" si="21"/>
        <v>1</v>
      </c>
      <c r="BS15" s="16">
        <f t="shared" si="22"/>
        <v>0</v>
      </c>
    </row>
    <row r="16">
      <c r="A16" s="1"/>
      <c r="B16" s="18"/>
      <c r="C16" s="18"/>
      <c r="D16" s="20" t="s">
        <v>54</v>
      </c>
      <c r="E16" s="21"/>
      <c r="F16" s="20" t="s">
        <v>37</v>
      </c>
      <c r="G16" s="20" t="s">
        <v>38</v>
      </c>
      <c r="H16" s="20" t="s">
        <v>39</v>
      </c>
      <c r="I16" s="11">
        <v>2.0</v>
      </c>
      <c r="J16" s="13">
        <v>0.0</v>
      </c>
      <c r="K16" s="14">
        <f t="shared" si="1"/>
        <v>2</v>
      </c>
      <c r="L16" s="15"/>
      <c r="M16" s="13">
        <v>0.0</v>
      </c>
      <c r="N16" s="14">
        <f t="shared" si="2"/>
        <v>2</v>
      </c>
      <c r="O16" s="15"/>
      <c r="P16" s="13">
        <v>0.0</v>
      </c>
      <c r="Q16" s="14">
        <f t="shared" si="3"/>
        <v>2</v>
      </c>
      <c r="R16" s="15"/>
      <c r="S16" s="13">
        <v>2.0</v>
      </c>
      <c r="T16" s="14">
        <f t="shared" si="4"/>
        <v>0</v>
      </c>
      <c r="U16" s="15"/>
      <c r="V16" s="14"/>
      <c r="W16" s="14">
        <f t="shared" si="5"/>
        <v>0</v>
      </c>
      <c r="X16" s="15"/>
      <c r="Y16" s="14"/>
      <c r="Z16" s="14">
        <f t="shared" si="6"/>
        <v>0</v>
      </c>
      <c r="AA16" s="15"/>
      <c r="AB16" s="14"/>
      <c r="AC16" s="14">
        <f t="shared" si="7"/>
        <v>0</v>
      </c>
      <c r="AD16" s="15"/>
      <c r="AE16" s="14"/>
      <c r="AF16" s="14">
        <f t="shared" si="8"/>
        <v>0</v>
      </c>
      <c r="AG16" s="15"/>
      <c r="AH16" s="14"/>
      <c r="AI16" s="14">
        <f t="shared" si="9"/>
        <v>0</v>
      </c>
      <c r="AJ16" s="15"/>
      <c r="AK16" s="14"/>
      <c r="AL16" s="14">
        <f t="shared" si="10"/>
        <v>0</v>
      </c>
      <c r="AM16" s="15"/>
      <c r="AN16" s="14"/>
      <c r="AO16" s="14">
        <f t="shared" si="11"/>
        <v>0</v>
      </c>
      <c r="AP16" s="15"/>
      <c r="AQ16" s="14"/>
      <c r="AR16" s="14">
        <f t="shared" si="12"/>
        <v>0</v>
      </c>
      <c r="AS16" s="15"/>
      <c r="AT16" s="14"/>
      <c r="AU16" s="14">
        <f t="shared" si="13"/>
        <v>0</v>
      </c>
      <c r="AV16" s="15"/>
      <c r="AW16" s="14"/>
      <c r="AX16" s="14">
        <f t="shared" si="14"/>
        <v>0</v>
      </c>
      <c r="AY16" s="15"/>
      <c r="AZ16" s="14"/>
      <c r="BA16" s="14">
        <f t="shared" si="15"/>
        <v>0</v>
      </c>
      <c r="BB16" s="15"/>
      <c r="BC16" s="14"/>
      <c r="BD16" s="14">
        <f t="shared" si="16"/>
        <v>0</v>
      </c>
      <c r="BE16" s="15"/>
      <c r="BF16" s="14"/>
      <c r="BG16" s="14">
        <f t="shared" si="17"/>
        <v>0</v>
      </c>
      <c r="BH16" s="15"/>
      <c r="BI16" s="14"/>
      <c r="BJ16" s="14">
        <f t="shared" si="18"/>
        <v>0</v>
      </c>
      <c r="BK16" s="15"/>
      <c r="BL16" s="14"/>
      <c r="BM16" s="14">
        <f t="shared" si="19"/>
        <v>0</v>
      </c>
      <c r="BN16" s="15"/>
      <c r="BO16" s="14"/>
      <c r="BP16" s="14">
        <f t="shared" si="20"/>
        <v>0</v>
      </c>
      <c r="BQ16" s="15"/>
      <c r="BR16" s="16">
        <f t="shared" si="21"/>
        <v>2</v>
      </c>
      <c r="BS16" s="16">
        <f t="shared" si="22"/>
        <v>0</v>
      </c>
    </row>
    <row r="17">
      <c r="A17" s="1"/>
      <c r="B17" s="10" t="s">
        <v>55</v>
      </c>
      <c r="C17" s="10" t="s">
        <v>56</v>
      </c>
      <c r="D17" s="11" t="s">
        <v>57</v>
      </c>
      <c r="E17" s="12"/>
      <c r="F17" s="11" t="s">
        <v>51</v>
      </c>
      <c r="G17" s="11" t="s">
        <v>38</v>
      </c>
      <c r="H17" s="11" t="s">
        <v>39</v>
      </c>
      <c r="I17" s="11">
        <v>2.0</v>
      </c>
      <c r="J17" s="13">
        <v>2.0</v>
      </c>
      <c r="K17" s="14">
        <f t="shared" si="1"/>
        <v>0</v>
      </c>
      <c r="L17" s="15"/>
      <c r="M17" s="13"/>
      <c r="N17" s="14">
        <f t="shared" si="2"/>
        <v>0</v>
      </c>
      <c r="O17" s="15"/>
      <c r="P17" s="13"/>
      <c r="Q17" s="14">
        <f t="shared" si="3"/>
        <v>0</v>
      </c>
      <c r="R17" s="15"/>
      <c r="S17" s="14"/>
      <c r="T17" s="14">
        <f t="shared" si="4"/>
        <v>0</v>
      </c>
      <c r="U17" s="15"/>
      <c r="V17" s="14"/>
      <c r="W17" s="14">
        <f t="shared" si="5"/>
        <v>0</v>
      </c>
      <c r="X17" s="15"/>
      <c r="Y17" s="14"/>
      <c r="Z17" s="14">
        <f t="shared" si="6"/>
        <v>0</v>
      </c>
      <c r="AA17" s="15"/>
      <c r="AB17" s="14"/>
      <c r="AC17" s="14">
        <f t="shared" si="7"/>
        <v>0</v>
      </c>
      <c r="AD17" s="15"/>
      <c r="AE17" s="14"/>
      <c r="AF17" s="14">
        <f t="shared" si="8"/>
        <v>0</v>
      </c>
      <c r="AG17" s="15"/>
      <c r="AH17" s="14"/>
      <c r="AI17" s="14">
        <f t="shared" si="9"/>
        <v>0</v>
      </c>
      <c r="AJ17" s="15"/>
      <c r="AK17" s="14"/>
      <c r="AL17" s="14">
        <f t="shared" si="10"/>
        <v>0</v>
      </c>
      <c r="AM17" s="15"/>
      <c r="AN17" s="14"/>
      <c r="AO17" s="14">
        <f t="shared" si="11"/>
        <v>0</v>
      </c>
      <c r="AP17" s="15"/>
      <c r="AQ17" s="14"/>
      <c r="AR17" s="14">
        <f t="shared" si="12"/>
        <v>0</v>
      </c>
      <c r="AS17" s="15"/>
      <c r="AT17" s="14"/>
      <c r="AU17" s="14">
        <f t="shared" si="13"/>
        <v>0</v>
      </c>
      <c r="AV17" s="15"/>
      <c r="AW17" s="14"/>
      <c r="AX17" s="14">
        <f t="shared" si="14"/>
        <v>0</v>
      </c>
      <c r="AY17" s="15"/>
      <c r="AZ17" s="14"/>
      <c r="BA17" s="14">
        <f t="shared" si="15"/>
        <v>0</v>
      </c>
      <c r="BB17" s="15"/>
      <c r="BC17" s="14"/>
      <c r="BD17" s="14">
        <f t="shared" si="16"/>
        <v>0</v>
      </c>
      <c r="BE17" s="15"/>
      <c r="BF17" s="14"/>
      <c r="BG17" s="14">
        <f t="shared" si="17"/>
        <v>0</v>
      </c>
      <c r="BH17" s="15"/>
      <c r="BI17" s="14"/>
      <c r="BJ17" s="14">
        <f t="shared" si="18"/>
        <v>0</v>
      </c>
      <c r="BK17" s="15"/>
      <c r="BL17" s="14"/>
      <c r="BM17" s="14">
        <f t="shared" si="19"/>
        <v>0</v>
      </c>
      <c r="BN17" s="15"/>
      <c r="BO17" s="14"/>
      <c r="BP17" s="14">
        <f t="shared" si="20"/>
        <v>0</v>
      </c>
      <c r="BQ17" s="15"/>
      <c r="BR17" s="16">
        <f t="shared" si="21"/>
        <v>2</v>
      </c>
      <c r="BS17" s="16">
        <f t="shared" si="22"/>
        <v>0</v>
      </c>
    </row>
    <row r="18">
      <c r="A18" s="1"/>
      <c r="B18" s="17"/>
      <c r="C18" s="17"/>
      <c r="D18" s="11" t="s">
        <v>58</v>
      </c>
      <c r="E18" s="12"/>
      <c r="F18" s="11" t="s">
        <v>51</v>
      </c>
      <c r="G18" s="11" t="s">
        <v>38</v>
      </c>
      <c r="H18" s="11" t="s">
        <v>39</v>
      </c>
      <c r="I18" s="11">
        <v>1.0</v>
      </c>
      <c r="J18" s="13">
        <v>1.0</v>
      </c>
      <c r="K18" s="14">
        <f t="shared" si="1"/>
        <v>0</v>
      </c>
      <c r="L18" s="15"/>
      <c r="M18" s="14"/>
      <c r="N18" s="14">
        <f t="shared" si="2"/>
        <v>0</v>
      </c>
      <c r="O18" s="15"/>
      <c r="P18" s="14"/>
      <c r="Q18" s="14">
        <f t="shared" si="3"/>
        <v>0</v>
      </c>
      <c r="R18" s="15"/>
      <c r="S18" s="14"/>
      <c r="T18" s="14">
        <f t="shared" si="4"/>
        <v>0</v>
      </c>
      <c r="U18" s="15"/>
      <c r="V18" s="14"/>
      <c r="W18" s="14">
        <f t="shared" si="5"/>
        <v>0</v>
      </c>
      <c r="X18" s="15"/>
      <c r="Y18" s="14"/>
      <c r="Z18" s="14">
        <f t="shared" si="6"/>
        <v>0</v>
      </c>
      <c r="AA18" s="15"/>
      <c r="AB18" s="14"/>
      <c r="AC18" s="14">
        <f t="shared" si="7"/>
        <v>0</v>
      </c>
      <c r="AD18" s="15"/>
      <c r="AE18" s="14"/>
      <c r="AF18" s="14">
        <f t="shared" si="8"/>
        <v>0</v>
      </c>
      <c r="AG18" s="15"/>
      <c r="AH18" s="14"/>
      <c r="AI18" s="14">
        <f t="shared" si="9"/>
        <v>0</v>
      </c>
      <c r="AJ18" s="15"/>
      <c r="AK18" s="14"/>
      <c r="AL18" s="14">
        <f t="shared" si="10"/>
        <v>0</v>
      </c>
      <c r="AM18" s="15"/>
      <c r="AN18" s="14"/>
      <c r="AO18" s="14">
        <f t="shared" si="11"/>
        <v>0</v>
      </c>
      <c r="AP18" s="15"/>
      <c r="AQ18" s="14"/>
      <c r="AR18" s="14">
        <f t="shared" si="12"/>
        <v>0</v>
      </c>
      <c r="AS18" s="15"/>
      <c r="AT18" s="14"/>
      <c r="AU18" s="14">
        <f t="shared" si="13"/>
        <v>0</v>
      </c>
      <c r="AV18" s="15"/>
      <c r="AW18" s="14"/>
      <c r="AX18" s="14">
        <f t="shared" si="14"/>
        <v>0</v>
      </c>
      <c r="AY18" s="15"/>
      <c r="AZ18" s="14"/>
      <c r="BA18" s="14">
        <f t="shared" si="15"/>
        <v>0</v>
      </c>
      <c r="BB18" s="15"/>
      <c r="BC18" s="14"/>
      <c r="BD18" s="14">
        <f t="shared" si="16"/>
        <v>0</v>
      </c>
      <c r="BE18" s="15"/>
      <c r="BF18" s="14"/>
      <c r="BG18" s="14">
        <f t="shared" si="17"/>
        <v>0</v>
      </c>
      <c r="BH18" s="15"/>
      <c r="BI18" s="14"/>
      <c r="BJ18" s="14">
        <f t="shared" si="18"/>
        <v>0</v>
      </c>
      <c r="BK18" s="15"/>
      <c r="BL18" s="14"/>
      <c r="BM18" s="14">
        <f t="shared" si="19"/>
        <v>0</v>
      </c>
      <c r="BN18" s="15"/>
      <c r="BO18" s="14"/>
      <c r="BP18" s="14">
        <f t="shared" si="20"/>
        <v>0</v>
      </c>
      <c r="BQ18" s="15"/>
      <c r="BR18" s="16">
        <f t="shared" si="21"/>
        <v>1</v>
      </c>
      <c r="BS18" s="16">
        <f t="shared" si="22"/>
        <v>0</v>
      </c>
    </row>
    <row r="19">
      <c r="A19" s="1"/>
      <c r="B19" s="17"/>
      <c r="C19" s="17"/>
      <c r="D19" s="11" t="s">
        <v>59</v>
      </c>
      <c r="E19" s="12"/>
      <c r="F19" s="11" t="s">
        <v>44</v>
      </c>
      <c r="G19" s="11" t="s">
        <v>38</v>
      </c>
      <c r="H19" s="11" t="s">
        <v>39</v>
      </c>
      <c r="I19" s="11">
        <v>1.0</v>
      </c>
      <c r="J19" s="13">
        <v>0.0</v>
      </c>
      <c r="K19" s="14">
        <f t="shared" si="1"/>
        <v>1</v>
      </c>
      <c r="L19" s="15"/>
      <c r="M19" s="13">
        <v>0.0</v>
      </c>
      <c r="N19" s="14">
        <f t="shared" si="2"/>
        <v>1</v>
      </c>
      <c r="O19" s="15"/>
      <c r="P19" s="13">
        <v>1.0</v>
      </c>
      <c r="Q19" s="14">
        <f t="shared" si="3"/>
        <v>0</v>
      </c>
      <c r="R19" s="15"/>
      <c r="S19" s="14"/>
      <c r="T19" s="14">
        <f t="shared" si="4"/>
        <v>0</v>
      </c>
      <c r="U19" s="15"/>
      <c r="V19" s="14"/>
      <c r="W19" s="14">
        <f t="shared" si="5"/>
        <v>0</v>
      </c>
      <c r="X19" s="15"/>
      <c r="Y19" s="14"/>
      <c r="Z19" s="14">
        <f t="shared" si="6"/>
        <v>0</v>
      </c>
      <c r="AA19" s="15"/>
      <c r="AB19" s="14"/>
      <c r="AC19" s="14">
        <f t="shared" si="7"/>
        <v>0</v>
      </c>
      <c r="AD19" s="15"/>
      <c r="AE19" s="14"/>
      <c r="AF19" s="14">
        <f t="shared" si="8"/>
        <v>0</v>
      </c>
      <c r="AG19" s="15"/>
      <c r="AH19" s="14"/>
      <c r="AI19" s="14">
        <f t="shared" si="9"/>
        <v>0</v>
      </c>
      <c r="AJ19" s="15"/>
      <c r="AK19" s="14"/>
      <c r="AL19" s="14">
        <f t="shared" si="10"/>
        <v>0</v>
      </c>
      <c r="AM19" s="15"/>
      <c r="AN19" s="14"/>
      <c r="AO19" s="14">
        <f t="shared" si="11"/>
        <v>0</v>
      </c>
      <c r="AP19" s="15"/>
      <c r="AQ19" s="14"/>
      <c r="AR19" s="14">
        <f t="shared" si="12"/>
        <v>0</v>
      </c>
      <c r="AS19" s="15"/>
      <c r="AT19" s="14"/>
      <c r="AU19" s="14">
        <f t="shared" si="13"/>
        <v>0</v>
      </c>
      <c r="AV19" s="15"/>
      <c r="AW19" s="14"/>
      <c r="AX19" s="14">
        <f t="shared" si="14"/>
        <v>0</v>
      </c>
      <c r="AY19" s="15"/>
      <c r="AZ19" s="14"/>
      <c r="BA19" s="14">
        <f t="shared" si="15"/>
        <v>0</v>
      </c>
      <c r="BB19" s="15"/>
      <c r="BC19" s="14"/>
      <c r="BD19" s="14">
        <f t="shared" si="16"/>
        <v>0</v>
      </c>
      <c r="BE19" s="15"/>
      <c r="BF19" s="14"/>
      <c r="BG19" s="14">
        <f t="shared" si="17"/>
        <v>0</v>
      </c>
      <c r="BH19" s="15"/>
      <c r="BI19" s="14"/>
      <c r="BJ19" s="14">
        <f t="shared" si="18"/>
        <v>0</v>
      </c>
      <c r="BK19" s="15"/>
      <c r="BL19" s="14"/>
      <c r="BM19" s="14">
        <f t="shared" si="19"/>
        <v>0</v>
      </c>
      <c r="BN19" s="15"/>
      <c r="BO19" s="14"/>
      <c r="BP19" s="14">
        <f t="shared" si="20"/>
        <v>0</v>
      </c>
      <c r="BQ19" s="15"/>
      <c r="BR19" s="16">
        <f t="shared" si="21"/>
        <v>1</v>
      </c>
      <c r="BS19" s="16">
        <f t="shared" si="22"/>
        <v>0</v>
      </c>
    </row>
    <row r="20">
      <c r="A20" s="1"/>
      <c r="B20" s="17"/>
      <c r="C20" s="17"/>
      <c r="D20" s="11" t="s">
        <v>60</v>
      </c>
      <c r="E20" s="12"/>
      <c r="F20" s="11" t="s">
        <v>51</v>
      </c>
      <c r="G20" s="11"/>
      <c r="H20" s="11" t="s">
        <v>39</v>
      </c>
      <c r="I20" s="11">
        <v>1.0</v>
      </c>
      <c r="J20" s="13">
        <v>1.0</v>
      </c>
      <c r="K20" s="14">
        <f t="shared" si="1"/>
        <v>0</v>
      </c>
      <c r="L20" s="15"/>
      <c r="M20" s="14"/>
      <c r="N20" s="14">
        <f t="shared" si="2"/>
        <v>0</v>
      </c>
      <c r="O20" s="15"/>
      <c r="P20" s="14"/>
      <c r="Q20" s="14">
        <f t="shared" si="3"/>
        <v>0</v>
      </c>
      <c r="R20" s="15"/>
      <c r="S20" s="14"/>
      <c r="T20" s="14">
        <f t="shared" si="4"/>
        <v>0</v>
      </c>
      <c r="U20" s="15"/>
      <c r="V20" s="14"/>
      <c r="W20" s="14">
        <f t="shared" si="5"/>
        <v>0</v>
      </c>
      <c r="X20" s="15"/>
      <c r="Y20" s="14"/>
      <c r="Z20" s="14">
        <f t="shared" si="6"/>
        <v>0</v>
      </c>
      <c r="AA20" s="15"/>
      <c r="AB20" s="14"/>
      <c r="AC20" s="14">
        <f t="shared" si="7"/>
        <v>0</v>
      </c>
      <c r="AD20" s="15"/>
      <c r="AE20" s="14"/>
      <c r="AF20" s="14">
        <f t="shared" si="8"/>
        <v>0</v>
      </c>
      <c r="AG20" s="15"/>
      <c r="AH20" s="14"/>
      <c r="AI20" s="14">
        <f t="shared" si="9"/>
        <v>0</v>
      </c>
      <c r="AJ20" s="15"/>
      <c r="AK20" s="14"/>
      <c r="AL20" s="14">
        <f t="shared" si="10"/>
        <v>0</v>
      </c>
      <c r="AM20" s="15"/>
      <c r="AN20" s="14"/>
      <c r="AO20" s="14">
        <f t="shared" si="11"/>
        <v>0</v>
      </c>
      <c r="AP20" s="15"/>
      <c r="AQ20" s="14"/>
      <c r="AR20" s="14">
        <f t="shared" si="12"/>
        <v>0</v>
      </c>
      <c r="AS20" s="15"/>
      <c r="AT20" s="14"/>
      <c r="AU20" s="14">
        <f t="shared" si="13"/>
        <v>0</v>
      </c>
      <c r="AV20" s="15"/>
      <c r="AW20" s="14"/>
      <c r="AX20" s="14">
        <f t="shared" si="14"/>
        <v>0</v>
      </c>
      <c r="AY20" s="15"/>
      <c r="AZ20" s="14"/>
      <c r="BA20" s="14">
        <f t="shared" si="15"/>
        <v>0</v>
      </c>
      <c r="BB20" s="15"/>
      <c r="BC20" s="14"/>
      <c r="BD20" s="14">
        <f t="shared" si="16"/>
        <v>0</v>
      </c>
      <c r="BE20" s="15"/>
      <c r="BF20" s="14"/>
      <c r="BG20" s="14">
        <f t="shared" si="17"/>
        <v>0</v>
      </c>
      <c r="BH20" s="15"/>
      <c r="BI20" s="14"/>
      <c r="BJ20" s="14">
        <f t="shared" si="18"/>
        <v>0</v>
      </c>
      <c r="BK20" s="15"/>
      <c r="BL20" s="14"/>
      <c r="BM20" s="14">
        <f t="shared" si="19"/>
        <v>0</v>
      </c>
      <c r="BN20" s="15"/>
      <c r="BO20" s="14"/>
      <c r="BP20" s="14">
        <f t="shared" si="20"/>
        <v>0</v>
      </c>
      <c r="BQ20" s="15"/>
      <c r="BR20" s="16">
        <f t="shared" si="21"/>
        <v>1</v>
      </c>
      <c r="BS20" s="16">
        <f t="shared" si="22"/>
        <v>0</v>
      </c>
    </row>
    <row r="21">
      <c r="A21" s="1"/>
      <c r="B21" s="18"/>
      <c r="C21" s="18"/>
      <c r="D21" s="22" t="s">
        <v>61</v>
      </c>
      <c r="E21" s="12"/>
      <c r="F21" s="11" t="s">
        <v>37</v>
      </c>
      <c r="G21" s="11" t="s">
        <v>38</v>
      </c>
      <c r="H21" s="11" t="s">
        <v>39</v>
      </c>
      <c r="I21" s="11">
        <v>3.0</v>
      </c>
      <c r="J21" s="13">
        <v>0.0</v>
      </c>
      <c r="K21" s="14">
        <f t="shared" si="1"/>
        <v>3</v>
      </c>
      <c r="L21" s="15"/>
      <c r="M21" s="13">
        <v>0.0</v>
      </c>
      <c r="N21" s="14">
        <f t="shared" si="2"/>
        <v>3</v>
      </c>
      <c r="O21" s="15"/>
      <c r="P21" s="13">
        <v>1.0</v>
      </c>
      <c r="Q21" s="14">
        <f t="shared" si="3"/>
        <v>2</v>
      </c>
      <c r="R21" s="15"/>
      <c r="S21" s="13">
        <v>2.0</v>
      </c>
      <c r="T21" s="14">
        <f t="shared" si="4"/>
        <v>0</v>
      </c>
      <c r="U21" s="15"/>
      <c r="V21" s="14"/>
      <c r="W21" s="14">
        <f t="shared" si="5"/>
        <v>0</v>
      </c>
      <c r="X21" s="15"/>
      <c r="Y21" s="14"/>
      <c r="Z21" s="14">
        <f t="shared" si="6"/>
        <v>0</v>
      </c>
      <c r="AA21" s="15"/>
      <c r="AB21" s="14"/>
      <c r="AC21" s="14">
        <f t="shared" si="7"/>
        <v>0</v>
      </c>
      <c r="AD21" s="15"/>
      <c r="AE21" s="14"/>
      <c r="AF21" s="14">
        <f t="shared" si="8"/>
        <v>0</v>
      </c>
      <c r="AG21" s="15"/>
      <c r="AH21" s="14"/>
      <c r="AI21" s="14">
        <f t="shared" si="9"/>
        <v>0</v>
      </c>
      <c r="AJ21" s="15"/>
      <c r="AK21" s="14"/>
      <c r="AL21" s="14">
        <f t="shared" si="10"/>
        <v>0</v>
      </c>
      <c r="AM21" s="15"/>
      <c r="AN21" s="14"/>
      <c r="AO21" s="14">
        <f t="shared" si="11"/>
        <v>0</v>
      </c>
      <c r="AP21" s="15"/>
      <c r="AQ21" s="14"/>
      <c r="AR21" s="14">
        <f t="shared" si="12"/>
        <v>0</v>
      </c>
      <c r="AS21" s="15"/>
      <c r="AT21" s="14"/>
      <c r="AU21" s="14">
        <f t="shared" si="13"/>
        <v>0</v>
      </c>
      <c r="AV21" s="15"/>
      <c r="AW21" s="14"/>
      <c r="AX21" s="14">
        <f t="shared" si="14"/>
        <v>0</v>
      </c>
      <c r="AY21" s="15"/>
      <c r="AZ21" s="14"/>
      <c r="BA21" s="14">
        <f t="shared" si="15"/>
        <v>0</v>
      </c>
      <c r="BB21" s="15"/>
      <c r="BC21" s="14"/>
      <c r="BD21" s="14">
        <f t="shared" si="16"/>
        <v>0</v>
      </c>
      <c r="BE21" s="15"/>
      <c r="BF21" s="14"/>
      <c r="BG21" s="14">
        <f t="shared" si="17"/>
        <v>0</v>
      </c>
      <c r="BH21" s="15"/>
      <c r="BI21" s="14"/>
      <c r="BJ21" s="14">
        <f t="shared" si="18"/>
        <v>0</v>
      </c>
      <c r="BK21" s="15"/>
      <c r="BL21" s="14"/>
      <c r="BM21" s="14">
        <f t="shared" si="19"/>
        <v>0</v>
      </c>
      <c r="BN21" s="15"/>
      <c r="BO21" s="14"/>
      <c r="BP21" s="14">
        <f t="shared" si="20"/>
        <v>0</v>
      </c>
      <c r="BQ21" s="15"/>
      <c r="BR21" s="16">
        <f t="shared" si="21"/>
        <v>3</v>
      </c>
      <c r="BS21" s="16">
        <f t="shared" si="22"/>
        <v>0</v>
      </c>
    </row>
    <row r="22">
      <c r="A22" s="1"/>
      <c r="B22" s="19" t="s">
        <v>62</v>
      </c>
      <c r="C22" s="19" t="s">
        <v>63</v>
      </c>
      <c r="D22" s="23" t="s">
        <v>64</v>
      </c>
      <c r="E22" s="21"/>
      <c r="F22" s="20" t="s">
        <v>51</v>
      </c>
      <c r="G22" s="20" t="s">
        <v>38</v>
      </c>
      <c r="H22" s="20" t="s">
        <v>39</v>
      </c>
      <c r="I22" s="11">
        <v>0.5</v>
      </c>
      <c r="J22" s="14"/>
      <c r="K22" s="14">
        <f t="shared" si="1"/>
        <v>0.5</v>
      </c>
      <c r="L22" s="15"/>
      <c r="M22" s="14"/>
      <c r="N22" s="14">
        <f t="shared" si="2"/>
        <v>0.5</v>
      </c>
      <c r="O22" s="15"/>
      <c r="P22" s="14"/>
      <c r="Q22" s="14">
        <f t="shared" si="3"/>
        <v>0.5</v>
      </c>
      <c r="R22" s="15"/>
      <c r="S22" s="14"/>
      <c r="T22" s="14">
        <f t="shared" si="4"/>
        <v>0.5</v>
      </c>
      <c r="U22" s="15"/>
      <c r="V22" s="14"/>
      <c r="W22" s="14">
        <f t="shared" si="5"/>
        <v>0.5</v>
      </c>
      <c r="X22" s="15"/>
      <c r="Y22" s="14"/>
      <c r="Z22" s="14">
        <f t="shared" si="6"/>
        <v>0.5</v>
      </c>
      <c r="AA22" s="15"/>
      <c r="AB22" s="14"/>
      <c r="AC22" s="14">
        <f t="shared" si="7"/>
        <v>0.5</v>
      </c>
      <c r="AD22" s="15"/>
      <c r="AE22" s="14"/>
      <c r="AF22" s="14">
        <f t="shared" si="8"/>
        <v>0.5</v>
      </c>
      <c r="AG22" s="15"/>
      <c r="AH22" s="14"/>
      <c r="AI22" s="14">
        <f t="shared" si="9"/>
        <v>0.5</v>
      </c>
      <c r="AJ22" s="15"/>
      <c r="AK22" s="14"/>
      <c r="AL22" s="14">
        <f t="shared" si="10"/>
        <v>0.5</v>
      </c>
      <c r="AM22" s="15"/>
      <c r="AN22" s="14"/>
      <c r="AO22" s="14">
        <f t="shared" si="11"/>
        <v>0.5</v>
      </c>
      <c r="AP22" s="15"/>
      <c r="AQ22" s="14"/>
      <c r="AR22" s="14">
        <f t="shared" si="12"/>
        <v>0.5</v>
      </c>
      <c r="AS22" s="15"/>
      <c r="AT22" s="14"/>
      <c r="AU22" s="14">
        <f t="shared" si="13"/>
        <v>0.5</v>
      </c>
      <c r="AV22" s="15"/>
      <c r="AW22" s="13">
        <v>0.5</v>
      </c>
      <c r="AX22" s="14">
        <f t="shared" si="14"/>
        <v>0</v>
      </c>
      <c r="AY22" s="15"/>
      <c r="AZ22" s="14"/>
      <c r="BA22" s="14">
        <f t="shared" si="15"/>
        <v>0</v>
      </c>
      <c r="BB22" s="15"/>
      <c r="BC22" s="14"/>
      <c r="BD22" s="14">
        <f t="shared" si="16"/>
        <v>0</v>
      </c>
      <c r="BE22" s="15"/>
      <c r="BF22" s="14"/>
      <c r="BG22" s="14">
        <f t="shared" si="17"/>
        <v>0</v>
      </c>
      <c r="BH22" s="15"/>
      <c r="BI22" s="14"/>
      <c r="BJ22" s="14">
        <f t="shared" si="18"/>
        <v>0</v>
      </c>
      <c r="BK22" s="15"/>
      <c r="BL22" s="14"/>
      <c r="BM22" s="14">
        <f t="shared" si="19"/>
        <v>0</v>
      </c>
      <c r="BN22" s="15"/>
      <c r="BO22" s="14"/>
      <c r="BP22" s="14">
        <f t="shared" si="20"/>
        <v>0</v>
      </c>
      <c r="BQ22" s="15"/>
      <c r="BR22" s="16">
        <f t="shared" si="21"/>
        <v>0.5</v>
      </c>
      <c r="BS22" s="16">
        <f t="shared" si="22"/>
        <v>0</v>
      </c>
    </row>
    <row r="23">
      <c r="A23" s="1"/>
      <c r="B23" s="17"/>
      <c r="C23" s="17"/>
      <c r="D23" s="20" t="s">
        <v>65</v>
      </c>
      <c r="E23" s="21"/>
      <c r="F23" s="20" t="s">
        <v>51</v>
      </c>
      <c r="G23" s="20" t="s">
        <v>38</v>
      </c>
      <c r="H23" s="20" t="s">
        <v>39</v>
      </c>
      <c r="I23" s="11">
        <v>1.5</v>
      </c>
      <c r="J23" s="14"/>
      <c r="K23" s="14">
        <f t="shared" si="1"/>
        <v>1.5</v>
      </c>
      <c r="L23" s="15"/>
      <c r="M23" s="14"/>
      <c r="N23" s="14">
        <f t="shared" si="2"/>
        <v>1.5</v>
      </c>
      <c r="O23" s="15"/>
      <c r="P23" s="14"/>
      <c r="Q23" s="14">
        <f t="shared" si="3"/>
        <v>1.5</v>
      </c>
      <c r="R23" s="15"/>
      <c r="S23" s="14"/>
      <c r="T23" s="14">
        <f t="shared" si="4"/>
        <v>1.5</v>
      </c>
      <c r="U23" s="15"/>
      <c r="V23" s="14"/>
      <c r="W23" s="14">
        <f t="shared" si="5"/>
        <v>1.5</v>
      </c>
      <c r="X23" s="15"/>
      <c r="Y23" s="14"/>
      <c r="Z23" s="14">
        <f t="shared" si="6"/>
        <v>1.5</v>
      </c>
      <c r="AA23" s="15"/>
      <c r="AB23" s="14"/>
      <c r="AC23" s="14">
        <f t="shared" si="7"/>
        <v>1.5</v>
      </c>
      <c r="AD23" s="15"/>
      <c r="AE23" s="14"/>
      <c r="AF23" s="14">
        <f t="shared" si="8"/>
        <v>1.5</v>
      </c>
      <c r="AG23" s="15"/>
      <c r="AH23" s="14"/>
      <c r="AI23" s="14">
        <f t="shared" si="9"/>
        <v>1.5</v>
      </c>
      <c r="AJ23" s="15"/>
      <c r="AK23" s="14"/>
      <c r="AL23" s="14">
        <f t="shared" si="10"/>
        <v>1.5</v>
      </c>
      <c r="AM23" s="15"/>
      <c r="AN23" s="14"/>
      <c r="AO23" s="14">
        <f t="shared" si="11"/>
        <v>1.5</v>
      </c>
      <c r="AP23" s="15"/>
      <c r="AQ23" s="14"/>
      <c r="AR23" s="14">
        <f t="shared" si="12"/>
        <v>1.5</v>
      </c>
      <c r="AS23" s="15"/>
      <c r="AT23" s="13">
        <v>0.5</v>
      </c>
      <c r="AU23" s="14">
        <f t="shared" si="13"/>
        <v>1</v>
      </c>
      <c r="AV23" s="15"/>
      <c r="AW23" s="13">
        <v>0.5</v>
      </c>
      <c r="AX23" s="14">
        <f t="shared" si="14"/>
        <v>0.5</v>
      </c>
      <c r="AY23" s="15"/>
      <c r="AZ23" s="13">
        <v>0.5</v>
      </c>
      <c r="BA23" s="14">
        <f t="shared" si="15"/>
        <v>0</v>
      </c>
      <c r="BB23" s="15"/>
      <c r="BC23" s="14"/>
      <c r="BD23" s="14">
        <f t="shared" si="16"/>
        <v>0</v>
      </c>
      <c r="BE23" s="15"/>
      <c r="BF23" s="14"/>
      <c r="BG23" s="14">
        <f t="shared" si="17"/>
        <v>0</v>
      </c>
      <c r="BH23" s="15"/>
      <c r="BI23" s="14"/>
      <c r="BJ23" s="14">
        <f t="shared" si="18"/>
        <v>0</v>
      </c>
      <c r="BK23" s="15"/>
      <c r="BL23" s="14"/>
      <c r="BM23" s="14">
        <f t="shared" si="19"/>
        <v>0</v>
      </c>
      <c r="BN23" s="15"/>
      <c r="BO23" s="14"/>
      <c r="BP23" s="14">
        <f t="shared" si="20"/>
        <v>0</v>
      </c>
      <c r="BQ23" s="15"/>
      <c r="BR23" s="16">
        <f t="shared" si="21"/>
        <v>1.5</v>
      </c>
      <c r="BS23" s="16">
        <f t="shared" si="22"/>
        <v>0</v>
      </c>
    </row>
    <row r="24">
      <c r="A24" s="1"/>
      <c r="B24" s="17"/>
      <c r="C24" s="17"/>
      <c r="D24" s="24" t="s">
        <v>66</v>
      </c>
      <c r="E24" s="21"/>
      <c r="F24" s="20" t="s">
        <v>51</v>
      </c>
      <c r="G24" s="20" t="s">
        <v>38</v>
      </c>
      <c r="H24" s="20" t="s">
        <v>39</v>
      </c>
      <c r="I24" s="11">
        <v>3.0</v>
      </c>
      <c r="J24" s="14"/>
      <c r="K24" s="14">
        <f t="shared" si="1"/>
        <v>3</v>
      </c>
      <c r="L24" s="15"/>
      <c r="M24" s="14"/>
      <c r="N24" s="14">
        <f t="shared" si="2"/>
        <v>3</v>
      </c>
      <c r="O24" s="15"/>
      <c r="P24" s="14"/>
      <c r="Q24" s="14">
        <f t="shared" si="3"/>
        <v>3</v>
      </c>
      <c r="R24" s="15"/>
      <c r="S24" s="14"/>
      <c r="T24" s="14">
        <f t="shared" si="4"/>
        <v>3</v>
      </c>
      <c r="U24" s="15"/>
      <c r="V24" s="14"/>
      <c r="W24" s="14">
        <f t="shared" si="5"/>
        <v>3</v>
      </c>
      <c r="X24" s="15"/>
      <c r="Y24" s="14"/>
      <c r="Z24" s="14">
        <f t="shared" si="6"/>
        <v>3</v>
      </c>
      <c r="AA24" s="15"/>
      <c r="AB24" s="14"/>
      <c r="AC24" s="14">
        <f t="shared" si="7"/>
        <v>3</v>
      </c>
      <c r="AD24" s="15"/>
      <c r="AE24" s="14"/>
      <c r="AF24" s="14">
        <f t="shared" si="8"/>
        <v>3</v>
      </c>
      <c r="AG24" s="15"/>
      <c r="AH24" s="14"/>
      <c r="AI24" s="14">
        <f t="shared" si="9"/>
        <v>3</v>
      </c>
      <c r="AJ24" s="15"/>
      <c r="AK24" s="14"/>
      <c r="AL24" s="14">
        <f t="shared" si="10"/>
        <v>3</v>
      </c>
      <c r="AM24" s="15"/>
      <c r="AN24" s="14"/>
      <c r="AO24" s="14">
        <f t="shared" si="11"/>
        <v>3</v>
      </c>
      <c r="AP24" s="15"/>
      <c r="AQ24" s="14"/>
      <c r="AR24" s="14">
        <f t="shared" si="12"/>
        <v>3</v>
      </c>
      <c r="AS24" s="15"/>
      <c r="AT24" s="13">
        <v>0.2</v>
      </c>
      <c r="AU24" s="14">
        <f t="shared" si="13"/>
        <v>2.8</v>
      </c>
      <c r="AV24" s="15"/>
      <c r="AW24" s="13">
        <v>0.6</v>
      </c>
      <c r="AX24" s="14">
        <f t="shared" si="14"/>
        <v>2.2</v>
      </c>
      <c r="AY24" s="15"/>
      <c r="AZ24" s="13">
        <v>1.0</v>
      </c>
      <c r="BA24" s="14">
        <f t="shared" si="15"/>
        <v>1.2</v>
      </c>
      <c r="BB24" s="15"/>
      <c r="BC24" s="13">
        <v>0.5</v>
      </c>
      <c r="BD24" s="14">
        <f t="shared" si="16"/>
        <v>0.7</v>
      </c>
      <c r="BE24" s="15"/>
      <c r="BF24" s="13">
        <v>0.7</v>
      </c>
      <c r="BG24" s="14">
        <f t="shared" si="17"/>
        <v>0</v>
      </c>
      <c r="BH24" s="15"/>
      <c r="BI24" s="14"/>
      <c r="BJ24" s="14">
        <f t="shared" si="18"/>
        <v>0</v>
      </c>
      <c r="BK24" s="15"/>
      <c r="BL24" s="14"/>
      <c r="BM24" s="14">
        <f t="shared" si="19"/>
        <v>0</v>
      </c>
      <c r="BN24" s="15"/>
      <c r="BO24" s="14"/>
      <c r="BP24" s="14">
        <f t="shared" si="20"/>
        <v>0</v>
      </c>
      <c r="BQ24" s="15"/>
      <c r="BR24" s="16">
        <f t="shared" si="21"/>
        <v>3</v>
      </c>
      <c r="BS24" s="16">
        <f t="shared" si="22"/>
        <v>0</v>
      </c>
    </row>
    <row r="25">
      <c r="A25" s="1"/>
      <c r="B25" s="17"/>
      <c r="C25" s="17"/>
      <c r="D25" s="24" t="s">
        <v>67</v>
      </c>
      <c r="E25" s="21"/>
      <c r="F25" s="20" t="s">
        <v>44</v>
      </c>
      <c r="G25" s="20" t="s">
        <v>38</v>
      </c>
      <c r="H25" s="20" t="s">
        <v>39</v>
      </c>
      <c r="I25" s="11">
        <v>1.0</v>
      </c>
      <c r="J25" s="14"/>
      <c r="K25" s="14">
        <f t="shared" si="1"/>
        <v>1</v>
      </c>
      <c r="L25" s="15"/>
      <c r="M25" s="14"/>
      <c r="N25" s="14">
        <f t="shared" si="2"/>
        <v>1</v>
      </c>
      <c r="O25" s="15"/>
      <c r="P25" s="14"/>
      <c r="Q25" s="14">
        <f t="shared" si="3"/>
        <v>1</v>
      </c>
      <c r="R25" s="15"/>
      <c r="S25" s="14"/>
      <c r="T25" s="14">
        <f t="shared" si="4"/>
        <v>1</v>
      </c>
      <c r="U25" s="15"/>
      <c r="V25" s="14"/>
      <c r="W25" s="14">
        <f t="shared" si="5"/>
        <v>1</v>
      </c>
      <c r="X25" s="15"/>
      <c r="Y25" s="14"/>
      <c r="Z25" s="14">
        <f t="shared" si="6"/>
        <v>1</v>
      </c>
      <c r="AA25" s="15"/>
      <c r="AB25" s="14"/>
      <c r="AC25" s="14">
        <f t="shared" si="7"/>
        <v>1</v>
      </c>
      <c r="AD25" s="15"/>
      <c r="AE25" s="14"/>
      <c r="AF25" s="14">
        <f t="shared" si="8"/>
        <v>1</v>
      </c>
      <c r="AG25" s="15"/>
      <c r="AH25" s="14"/>
      <c r="AI25" s="14">
        <f t="shared" si="9"/>
        <v>1</v>
      </c>
      <c r="AJ25" s="15"/>
      <c r="AK25" s="14"/>
      <c r="AL25" s="14">
        <f t="shared" si="10"/>
        <v>1</v>
      </c>
      <c r="AM25" s="15"/>
      <c r="AN25" s="14"/>
      <c r="AO25" s="14">
        <f t="shared" si="11"/>
        <v>1</v>
      </c>
      <c r="AP25" s="15"/>
      <c r="AQ25" s="14"/>
      <c r="AR25" s="14">
        <f t="shared" si="12"/>
        <v>1</v>
      </c>
      <c r="AS25" s="15"/>
      <c r="AT25" s="14"/>
      <c r="AU25" s="14">
        <f t="shared" si="13"/>
        <v>1</v>
      </c>
      <c r="AV25" s="15"/>
      <c r="AW25" s="14"/>
      <c r="AX25" s="14">
        <f t="shared" si="14"/>
        <v>1</v>
      </c>
      <c r="AY25" s="15"/>
      <c r="AZ25" s="14"/>
      <c r="BA25" s="14">
        <f t="shared" si="15"/>
        <v>1</v>
      </c>
      <c r="BB25" s="15"/>
      <c r="BC25" s="14"/>
      <c r="BD25" s="14">
        <f t="shared" si="16"/>
        <v>1</v>
      </c>
      <c r="BE25" s="15"/>
      <c r="BF25" s="13"/>
      <c r="BG25" s="14">
        <f t="shared" si="17"/>
        <v>1</v>
      </c>
      <c r="BH25" s="15"/>
      <c r="BI25" s="13">
        <v>1.0</v>
      </c>
      <c r="BJ25" s="14">
        <f t="shared" si="18"/>
        <v>0</v>
      </c>
      <c r="BK25" s="15"/>
      <c r="BL25" s="14"/>
      <c r="BM25" s="14">
        <f t="shared" si="19"/>
        <v>0</v>
      </c>
      <c r="BN25" s="15"/>
      <c r="BO25" s="14"/>
      <c r="BP25" s="14">
        <f t="shared" si="20"/>
        <v>0</v>
      </c>
      <c r="BQ25" s="15"/>
      <c r="BR25" s="16">
        <f t="shared" si="21"/>
        <v>1</v>
      </c>
      <c r="BS25" s="16">
        <f t="shared" si="22"/>
        <v>0</v>
      </c>
    </row>
    <row r="26">
      <c r="A26" s="1"/>
      <c r="B26" s="17"/>
      <c r="C26" s="17"/>
      <c r="D26" s="24" t="s">
        <v>68</v>
      </c>
      <c r="E26" s="21"/>
      <c r="F26" s="20" t="s">
        <v>51</v>
      </c>
      <c r="G26" s="20" t="s">
        <v>38</v>
      </c>
      <c r="H26" s="20" t="s">
        <v>39</v>
      </c>
      <c r="I26" s="11">
        <v>1.0</v>
      </c>
      <c r="J26" s="14"/>
      <c r="K26" s="14">
        <f t="shared" si="1"/>
        <v>1</v>
      </c>
      <c r="L26" s="15"/>
      <c r="M26" s="14"/>
      <c r="N26" s="14">
        <f t="shared" si="2"/>
        <v>1</v>
      </c>
      <c r="O26" s="15"/>
      <c r="P26" s="14"/>
      <c r="Q26" s="14">
        <f t="shared" si="3"/>
        <v>1</v>
      </c>
      <c r="R26" s="15"/>
      <c r="S26" s="14"/>
      <c r="T26" s="14">
        <f t="shared" si="4"/>
        <v>1</v>
      </c>
      <c r="U26" s="15"/>
      <c r="V26" s="14"/>
      <c r="W26" s="14">
        <f t="shared" si="5"/>
        <v>1</v>
      </c>
      <c r="X26" s="15"/>
      <c r="Y26" s="14"/>
      <c r="Z26" s="14">
        <f t="shared" si="6"/>
        <v>1</v>
      </c>
      <c r="AA26" s="15"/>
      <c r="AB26" s="14"/>
      <c r="AC26" s="14">
        <f t="shared" si="7"/>
        <v>1</v>
      </c>
      <c r="AD26" s="15"/>
      <c r="AE26" s="14"/>
      <c r="AF26" s="14">
        <f t="shared" si="8"/>
        <v>1</v>
      </c>
      <c r="AG26" s="15"/>
      <c r="AH26" s="14"/>
      <c r="AI26" s="14">
        <f t="shared" si="9"/>
        <v>1</v>
      </c>
      <c r="AJ26" s="15"/>
      <c r="AK26" s="14"/>
      <c r="AL26" s="14">
        <f t="shared" si="10"/>
        <v>1</v>
      </c>
      <c r="AM26" s="15"/>
      <c r="AN26" s="14"/>
      <c r="AO26" s="14">
        <f t="shared" si="11"/>
        <v>1</v>
      </c>
      <c r="AP26" s="15"/>
      <c r="AQ26" s="14"/>
      <c r="AR26" s="14">
        <f t="shared" si="12"/>
        <v>1</v>
      </c>
      <c r="AS26" s="15"/>
      <c r="AT26" s="14"/>
      <c r="AU26" s="14">
        <f t="shared" si="13"/>
        <v>1</v>
      </c>
      <c r="AV26" s="15"/>
      <c r="AW26" s="14"/>
      <c r="AX26" s="14">
        <f t="shared" si="14"/>
        <v>1</v>
      </c>
      <c r="AY26" s="15"/>
      <c r="AZ26" s="14"/>
      <c r="BA26" s="14">
        <f t="shared" si="15"/>
        <v>1</v>
      </c>
      <c r="BB26" s="15"/>
      <c r="BC26" s="14"/>
      <c r="BD26" s="14">
        <f t="shared" si="16"/>
        <v>1</v>
      </c>
      <c r="BE26" s="15"/>
      <c r="BF26" s="13">
        <v>1.0</v>
      </c>
      <c r="BG26" s="14">
        <f t="shared" si="17"/>
        <v>0</v>
      </c>
      <c r="BH26" s="15"/>
      <c r="BI26" s="14"/>
      <c r="BJ26" s="14">
        <f t="shared" si="18"/>
        <v>0</v>
      </c>
      <c r="BK26" s="15"/>
      <c r="BL26" s="14"/>
      <c r="BM26" s="14">
        <f t="shared" si="19"/>
        <v>0</v>
      </c>
      <c r="BN26" s="15"/>
      <c r="BO26" s="14"/>
      <c r="BP26" s="14">
        <f t="shared" si="20"/>
        <v>0</v>
      </c>
      <c r="BQ26" s="15"/>
      <c r="BR26" s="16">
        <f t="shared" si="21"/>
        <v>1</v>
      </c>
      <c r="BS26" s="16">
        <f t="shared" si="22"/>
        <v>0</v>
      </c>
    </row>
    <row r="27">
      <c r="A27" s="1"/>
      <c r="B27" s="18"/>
      <c r="C27" s="18"/>
      <c r="D27" s="24" t="s">
        <v>69</v>
      </c>
      <c r="E27" s="21"/>
      <c r="F27" s="20" t="s">
        <v>44</v>
      </c>
      <c r="G27" s="20" t="s">
        <v>38</v>
      </c>
      <c r="H27" s="20" t="s">
        <v>39</v>
      </c>
      <c r="I27" s="11">
        <v>3.0</v>
      </c>
      <c r="J27" s="14"/>
      <c r="K27" s="14">
        <f t="shared" si="1"/>
        <v>3</v>
      </c>
      <c r="L27" s="15"/>
      <c r="M27" s="14"/>
      <c r="N27" s="14">
        <f t="shared" si="2"/>
        <v>3</v>
      </c>
      <c r="O27" s="15"/>
      <c r="P27" s="14"/>
      <c r="Q27" s="14">
        <f t="shared" si="3"/>
        <v>3</v>
      </c>
      <c r="R27" s="15"/>
      <c r="S27" s="14"/>
      <c r="T27" s="14">
        <f t="shared" si="4"/>
        <v>3</v>
      </c>
      <c r="U27" s="15"/>
      <c r="V27" s="14"/>
      <c r="W27" s="14">
        <f t="shared" si="5"/>
        <v>3</v>
      </c>
      <c r="X27" s="15"/>
      <c r="Y27" s="14"/>
      <c r="Z27" s="14">
        <f t="shared" si="6"/>
        <v>3</v>
      </c>
      <c r="AA27" s="15"/>
      <c r="AB27" s="14"/>
      <c r="AC27" s="14">
        <f t="shared" si="7"/>
        <v>3</v>
      </c>
      <c r="AD27" s="15"/>
      <c r="AE27" s="14"/>
      <c r="AF27" s="14">
        <f t="shared" si="8"/>
        <v>3</v>
      </c>
      <c r="AG27" s="15"/>
      <c r="AH27" s="14"/>
      <c r="AI27" s="14">
        <f t="shared" si="9"/>
        <v>3</v>
      </c>
      <c r="AJ27" s="15"/>
      <c r="AK27" s="14"/>
      <c r="AL27" s="14">
        <f t="shared" si="10"/>
        <v>3</v>
      </c>
      <c r="AM27" s="15"/>
      <c r="AN27" s="14"/>
      <c r="AO27" s="14">
        <f t="shared" si="11"/>
        <v>3</v>
      </c>
      <c r="AP27" s="15"/>
      <c r="AQ27" s="14"/>
      <c r="AR27" s="14">
        <f t="shared" si="12"/>
        <v>3</v>
      </c>
      <c r="AS27" s="15"/>
      <c r="AT27" s="14"/>
      <c r="AU27" s="14">
        <f t="shared" si="13"/>
        <v>3</v>
      </c>
      <c r="AV27" s="15"/>
      <c r="AW27" s="14"/>
      <c r="AX27" s="14">
        <f t="shared" si="14"/>
        <v>3</v>
      </c>
      <c r="AY27" s="15"/>
      <c r="AZ27" s="14"/>
      <c r="BA27" s="14">
        <f t="shared" si="15"/>
        <v>3</v>
      </c>
      <c r="BB27" s="15"/>
      <c r="BC27" s="14"/>
      <c r="BD27" s="14">
        <f t="shared" si="16"/>
        <v>3</v>
      </c>
      <c r="BE27" s="15"/>
      <c r="BF27" s="14"/>
      <c r="BG27" s="14">
        <f t="shared" si="17"/>
        <v>3</v>
      </c>
      <c r="BH27" s="15"/>
      <c r="BI27" s="13">
        <v>1.0</v>
      </c>
      <c r="BJ27" s="14">
        <f t="shared" si="18"/>
        <v>2</v>
      </c>
      <c r="BK27" s="15"/>
      <c r="BL27" s="13">
        <v>1.0</v>
      </c>
      <c r="BM27" s="14">
        <f t="shared" si="19"/>
        <v>1</v>
      </c>
      <c r="BN27" s="15"/>
      <c r="BO27" s="13">
        <v>1.0</v>
      </c>
      <c r="BP27" s="14">
        <f t="shared" si="20"/>
        <v>0</v>
      </c>
      <c r="BQ27" s="15"/>
      <c r="BR27" s="16">
        <f t="shared" si="21"/>
        <v>3</v>
      </c>
      <c r="BS27" s="16">
        <f t="shared" si="22"/>
        <v>0</v>
      </c>
    </row>
    <row r="28">
      <c r="A28" s="1"/>
      <c r="B28" s="25" t="s">
        <v>70</v>
      </c>
      <c r="C28" s="25" t="s">
        <v>71</v>
      </c>
      <c r="D28" s="26" t="s">
        <v>72</v>
      </c>
      <c r="E28" s="27"/>
      <c r="F28" s="28" t="s">
        <v>51</v>
      </c>
      <c r="G28" s="28" t="s">
        <v>38</v>
      </c>
      <c r="H28" s="28" t="s">
        <v>39</v>
      </c>
      <c r="I28" s="11">
        <v>0.5</v>
      </c>
      <c r="J28" s="13"/>
      <c r="K28" s="14">
        <f t="shared" si="1"/>
        <v>0.5</v>
      </c>
      <c r="L28" s="15"/>
      <c r="M28" s="14"/>
      <c r="N28" s="14">
        <f t="shared" si="2"/>
        <v>0.5</v>
      </c>
      <c r="O28" s="15"/>
      <c r="P28" s="14"/>
      <c r="Q28" s="14">
        <f t="shared" si="3"/>
        <v>0.5</v>
      </c>
      <c r="R28" s="15"/>
      <c r="S28" s="14"/>
      <c r="T28" s="14">
        <f t="shared" si="4"/>
        <v>0.5</v>
      </c>
      <c r="U28" s="15"/>
      <c r="V28" s="14"/>
      <c r="W28" s="14">
        <f t="shared" si="5"/>
        <v>0.5</v>
      </c>
      <c r="X28" s="15"/>
      <c r="Y28" s="14"/>
      <c r="Z28" s="14">
        <f t="shared" si="6"/>
        <v>0.5</v>
      </c>
      <c r="AA28" s="15"/>
      <c r="AB28" s="14"/>
      <c r="AC28" s="14">
        <f t="shared" si="7"/>
        <v>0.5</v>
      </c>
      <c r="AD28" s="15"/>
      <c r="AE28" s="14"/>
      <c r="AF28" s="14">
        <f t="shared" si="8"/>
        <v>0.5</v>
      </c>
      <c r="AG28" s="15"/>
      <c r="AH28" s="14"/>
      <c r="AI28" s="14">
        <f t="shared" si="9"/>
        <v>0.5</v>
      </c>
      <c r="AJ28" s="15"/>
      <c r="AK28" s="14"/>
      <c r="AL28" s="14">
        <f t="shared" si="10"/>
        <v>0.5</v>
      </c>
      <c r="AM28" s="15"/>
      <c r="AN28" s="14"/>
      <c r="AO28" s="14">
        <f t="shared" si="11"/>
        <v>0.5</v>
      </c>
      <c r="AP28" s="15"/>
      <c r="AQ28" s="14"/>
      <c r="AR28" s="14">
        <f t="shared" si="12"/>
        <v>0.5</v>
      </c>
      <c r="AS28" s="15"/>
      <c r="AT28" s="13"/>
      <c r="AU28" s="14">
        <f t="shared" si="13"/>
        <v>0.5</v>
      </c>
      <c r="AV28" s="15"/>
      <c r="AW28" s="13">
        <v>0.2</v>
      </c>
      <c r="AX28" s="14">
        <f t="shared" si="14"/>
        <v>0.3</v>
      </c>
      <c r="AY28" s="15"/>
      <c r="AZ28" s="13">
        <v>0.3</v>
      </c>
      <c r="BA28" s="14">
        <f t="shared" si="15"/>
        <v>0</v>
      </c>
      <c r="BB28" s="15"/>
      <c r="BC28" s="14"/>
      <c r="BD28" s="14">
        <f t="shared" si="16"/>
        <v>0</v>
      </c>
      <c r="BE28" s="15"/>
      <c r="BF28" s="14"/>
      <c r="BG28" s="14">
        <f t="shared" si="17"/>
        <v>0</v>
      </c>
      <c r="BH28" s="15"/>
      <c r="BI28" s="14"/>
      <c r="BJ28" s="14">
        <f t="shared" si="18"/>
        <v>0</v>
      </c>
      <c r="BK28" s="15"/>
      <c r="BL28" s="14"/>
      <c r="BM28" s="14">
        <f t="shared" si="19"/>
        <v>0</v>
      </c>
      <c r="BN28" s="15"/>
      <c r="BO28" s="14"/>
      <c r="BP28" s="14">
        <f t="shared" si="20"/>
        <v>0</v>
      </c>
      <c r="BQ28" s="15"/>
      <c r="BR28" s="16">
        <f t="shared" si="21"/>
        <v>0.5</v>
      </c>
      <c r="BS28" s="16">
        <f t="shared" si="22"/>
        <v>0</v>
      </c>
    </row>
    <row r="29">
      <c r="A29" s="1"/>
      <c r="B29" s="18"/>
      <c r="C29" s="18"/>
      <c r="D29" s="28" t="s">
        <v>73</v>
      </c>
      <c r="E29" s="27"/>
      <c r="F29" s="28" t="s">
        <v>51</v>
      </c>
      <c r="G29" s="28" t="s">
        <v>38</v>
      </c>
      <c r="H29" s="28" t="s">
        <v>39</v>
      </c>
      <c r="I29" s="11">
        <v>1.5</v>
      </c>
      <c r="J29" s="14"/>
      <c r="K29" s="14">
        <f t="shared" si="1"/>
        <v>1.5</v>
      </c>
      <c r="L29" s="15"/>
      <c r="M29" s="14"/>
      <c r="N29" s="14">
        <f t="shared" si="2"/>
        <v>1.5</v>
      </c>
      <c r="O29" s="15"/>
      <c r="P29" s="14"/>
      <c r="Q29" s="14">
        <f t="shared" si="3"/>
        <v>1.5</v>
      </c>
      <c r="R29" s="15"/>
      <c r="S29" s="14"/>
      <c r="T29" s="14">
        <f t="shared" si="4"/>
        <v>1.5</v>
      </c>
      <c r="U29" s="15"/>
      <c r="V29" s="14"/>
      <c r="W29" s="14">
        <f t="shared" si="5"/>
        <v>1.5</v>
      </c>
      <c r="X29" s="15"/>
      <c r="Y29" s="14"/>
      <c r="Z29" s="14">
        <f t="shared" si="6"/>
        <v>1.5</v>
      </c>
      <c r="AA29" s="15"/>
      <c r="AB29" s="14"/>
      <c r="AC29" s="14">
        <f t="shared" si="7"/>
        <v>1.5</v>
      </c>
      <c r="AD29" s="15"/>
      <c r="AE29" s="14"/>
      <c r="AF29" s="14">
        <f t="shared" si="8"/>
        <v>1.5</v>
      </c>
      <c r="AG29" s="15"/>
      <c r="AH29" s="14"/>
      <c r="AI29" s="14">
        <f t="shared" si="9"/>
        <v>1.5</v>
      </c>
      <c r="AJ29" s="15"/>
      <c r="AK29" s="14"/>
      <c r="AL29" s="14">
        <f t="shared" si="10"/>
        <v>1.5</v>
      </c>
      <c r="AM29" s="15"/>
      <c r="AN29" s="14"/>
      <c r="AO29" s="14">
        <f t="shared" si="11"/>
        <v>1.5</v>
      </c>
      <c r="AP29" s="15"/>
      <c r="AQ29" s="14"/>
      <c r="AR29" s="14">
        <f t="shared" si="12"/>
        <v>1.5</v>
      </c>
      <c r="AS29" s="15"/>
      <c r="AT29" s="14"/>
      <c r="AU29" s="14">
        <f t="shared" si="13"/>
        <v>1.5</v>
      </c>
      <c r="AV29" s="15"/>
      <c r="AW29" s="14"/>
      <c r="AX29" s="14">
        <f t="shared" si="14"/>
        <v>1.5</v>
      </c>
      <c r="AY29" s="15"/>
      <c r="AZ29" s="13">
        <v>0.5</v>
      </c>
      <c r="BA29" s="14">
        <f t="shared" si="15"/>
        <v>1</v>
      </c>
      <c r="BB29" s="15"/>
      <c r="BC29" s="13">
        <v>0.2</v>
      </c>
      <c r="BD29" s="14">
        <f t="shared" si="16"/>
        <v>0.8</v>
      </c>
      <c r="BE29" s="15"/>
      <c r="BF29" s="13">
        <v>0.8</v>
      </c>
      <c r="BG29" s="14">
        <f t="shared" si="17"/>
        <v>0</v>
      </c>
      <c r="BH29" s="15"/>
      <c r="BI29" s="14"/>
      <c r="BJ29" s="14">
        <f t="shared" si="18"/>
        <v>0</v>
      </c>
      <c r="BK29" s="15"/>
      <c r="BL29" s="14"/>
      <c r="BM29" s="14">
        <f t="shared" si="19"/>
        <v>0</v>
      </c>
      <c r="BN29" s="15"/>
      <c r="BO29" s="14"/>
      <c r="BP29" s="14">
        <f t="shared" si="20"/>
        <v>0</v>
      </c>
      <c r="BQ29" s="15"/>
      <c r="BR29" s="16">
        <f t="shared" si="21"/>
        <v>1.5</v>
      </c>
      <c r="BS29" s="16">
        <f t="shared" si="22"/>
        <v>0</v>
      </c>
    </row>
    <row r="30">
      <c r="A30" s="1"/>
      <c r="B30" s="1"/>
      <c r="C30" s="1"/>
      <c r="D30" s="1"/>
      <c r="E30" s="1"/>
      <c r="F30" s="1"/>
      <c r="G30" s="1"/>
      <c r="H30" s="29" t="s">
        <v>74</v>
      </c>
      <c r="I30" s="1">
        <f>SUM(I5:I29)</f>
        <v>37</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row>
  </sheetData>
  <mergeCells count="31">
    <mergeCell ref="AZ3:BA3"/>
    <mergeCell ref="BC3:BD3"/>
    <mergeCell ref="BF3:BG3"/>
    <mergeCell ref="BI3:BJ3"/>
    <mergeCell ref="BL3:BM3"/>
    <mergeCell ref="BO3:BP3"/>
    <mergeCell ref="BR3:BS3"/>
    <mergeCell ref="AE3:AF3"/>
    <mergeCell ref="AH3:AI3"/>
    <mergeCell ref="AK3:AL3"/>
    <mergeCell ref="AN3:AO3"/>
    <mergeCell ref="AQ3:AR3"/>
    <mergeCell ref="AT3:AU3"/>
    <mergeCell ref="AW3:AX3"/>
    <mergeCell ref="J3:K3"/>
    <mergeCell ref="M3:N3"/>
    <mergeCell ref="P3:Q3"/>
    <mergeCell ref="S3:T3"/>
    <mergeCell ref="V3:W3"/>
    <mergeCell ref="Y3:Z3"/>
    <mergeCell ref="AB3:AC3"/>
    <mergeCell ref="B22:B27"/>
    <mergeCell ref="B28:B29"/>
    <mergeCell ref="B5:B12"/>
    <mergeCell ref="C5:C12"/>
    <mergeCell ref="B13:B16"/>
    <mergeCell ref="C13:C16"/>
    <mergeCell ref="B17:B21"/>
    <mergeCell ref="C17:C21"/>
    <mergeCell ref="C22:C27"/>
    <mergeCell ref="C28:C29"/>
  </mergeCells>
  <dataValidations>
    <dataValidation type="list" allowBlank="1" showErrorMessage="1" sqref="F5:F29">
      <formula1>"Baja,Media,Alta"</formula1>
    </dataValidation>
    <dataValidation type="list" allowBlank="1" showErrorMessage="1" sqref="H5:H29">
      <formula1>"Pendiente,En proceso,Terminada"</formula1>
    </dataValidation>
  </dataValidations>
  <printOptions/>
  <pageMargins bottom="0.7480314960629921" footer="0.0" header="0.0" left="0.6299212598425197" right="0.6299212598425197" top="0.7480314960629921"/>
  <pageSetup scale="5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c r="A1" s="1"/>
      <c r="B1" s="2" t="s">
        <v>75</v>
      </c>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0" t="s">
        <v>76</v>
      </c>
      <c r="C3" s="30" t="s">
        <v>77</v>
      </c>
      <c r="D3" s="1"/>
      <c r="E3" s="1"/>
      <c r="F3" s="1"/>
      <c r="G3" s="1"/>
      <c r="H3" s="1"/>
      <c r="I3" s="1"/>
      <c r="J3" s="1"/>
      <c r="K3" s="1"/>
      <c r="L3" s="1"/>
      <c r="M3" s="1"/>
      <c r="N3" s="1"/>
      <c r="O3" s="1"/>
      <c r="P3" s="1"/>
      <c r="Q3" s="1"/>
      <c r="R3" s="1"/>
      <c r="S3" s="1"/>
      <c r="T3" s="1"/>
      <c r="U3" s="1"/>
      <c r="V3" s="1"/>
      <c r="W3" s="1"/>
      <c r="X3" s="1"/>
      <c r="Y3" s="1"/>
      <c r="Z3" s="1"/>
    </row>
    <row r="4">
      <c r="A4" s="1"/>
      <c r="B4" s="12" t="str">
        <f>'Sprint Backlog'!B4</f>
        <v>Identificador (ID) de item de product backlog</v>
      </c>
      <c r="C4" s="12" t="s">
        <v>78</v>
      </c>
      <c r="D4" s="1"/>
      <c r="E4" s="1"/>
      <c r="F4" s="1"/>
      <c r="G4" s="1"/>
      <c r="H4" s="1"/>
      <c r="I4" s="1"/>
      <c r="J4" s="1"/>
      <c r="K4" s="1"/>
      <c r="L4" s="1"/>
      <c r="M4" s="1"/>
      <c r="N4" s="1"/>
      <c r="O4" s="1"/>
      <c r="P4" s="1"/>
      <c r="Q4" s="1"/>
      <c r="R4" s="1"/>
      <c r="S4" s="1"/>
      <c r="T4" s="1"/>
      <c r="U4" s="1"/>
      <c r="V4" s="1"/>
      <c r="W4" s="1"/>
      <c r="X4" s="1"/>
      <c r="Y4" s="1"/>
      <c r="Z4" s="1"/>
    </row>
    <row r="5">
      <c r="A5" s="1"/>
      <c r="B5" s="12" t="str">
        <f>'Sprint Backlog'!C4</f>
        <v>Enunciado del item de Product Backlog</v>
      </c>
      <c r="C5" s="12" t="s">
        <v>79</v>
      </c>
      <c r="D5" s="1"/>
      <c r="E5" s="1"/>
      <c r="F5" s="1"/>
      <c r="G5" s="1"/>
      <c r="H5" s="1"/>
      <c r="I5" s="1"/>
      <c r="J5" s="1"/>
      <c r="K5" s="1"/>
      <c r="L5" s="1"/>
      <c r="M5" s="1"/>
      <c r="N5" s="1"/>
      <c r="O5" s="1"/>
      <c r="P5" s="1"/>
      <c r="Q5" s="1"/>
      <c r="R5" s="1"/>
      <c r="S5" s="1"/>
      <c r="T5" s="1"/>
      <c r="U5" s="1"/>
      <c r="V5" s="1"/>
      <c r="W5" s="1"/>
      <c r="X5" s="1"/>
      <c r="Y5" s="1"/>
      <c r="Z5" s="1"/>
    </row>
    <row r="6">
      <c r="A6" s="1"/>
      <c r="B6" s="12" t="s">
        <v>26</v>
      </c>
      <c r="C6" s="12" t="s">
        <v>80</v>
      </c>
      <c r="D6" s="1"/>
      <c r="E6" s="1"/>
      <c r="F6" s="1"/>
      <c r="G6" s="1"/>
      <c r="H6" s="1"/>
      <c r="I6" s="1"/>
      <c r="J6" s="1"/>
      <c r="K6" s="1"/>
      <c r="L6" s="1"/>
      <c r="M6" s="1"/>
      <c r="N6" s="1"/>
      <c r="O6" s="1"/>
      <c r="P6" s="1"/>
      <c r="Q6" s="1"/>
      <c r="R6" s="1"/>
      <c r="S6" s="1"/>
      <c r="T6" s="1"/>
      <c r="U6" s="1"/>
      <c r="V6" s="1"/>
      <c r="W6" s="1"/>
      <c r="X6" s="1"/>
      <c r="Y6" s="1"/>
      <c r="Z6" s="1"/>
    </row>
    <row r="7">
      <c r="A7" s="1"/>
      <c r="B7" s="12" t="s">
        <v>27</v>
      </c>
      <c r="C7" s="12" t="s">
        <v>81</v>
      </c>
      <c r="D7" s="1"/>
      <c r="E7" s="1"/>
      <c r="F7" s="1"/>
      <c r="G7" s="1"/>
      <c r="H7" s="1"/>
      <c r="I7" s="1"/>
      <c r="J7" s="1"/>
      <c r="K7" s="1"/>
      <c r="L7" s="1"/>
      <c r="M7" s="1"/>
      <c r="N7" s="1"/>
      <c r="O7" s="1"/>
      <c r="P7" s="1"/>
      <c r="Q7" s="1"/>
      <c r="R7" s="1"/>
      <c r="S7" s="1"/>
      <c r="T7" s="1"/>
      <c r="U7" s="1"/>
      <c r="V7" s="1"/>
      <c r="W7" s="1"/>
      <c r="X7" s="1"/>
      <c r="Y7" s="1"/>
      <c r="Z7" s="1"/>
    </row>
    <row r="8">
      <c r="A8" s="1"/>
      <c r="B8" s="12" t="s">
        <v>30</v>
      </c>
      <c r="C8" s="12" t="s">
        <v>82</v>
      </c>
      <c r="D8" s="1"/>
      <c r="E8" s="1"/>
      <c r="F8" s="1"/>
      <c r="G8" s="1"/>
      <c r="H8" s="1"/>
      <c r="I8" s="1"/>
      <c r="J8" s="1"/>
      <c r="K8" s="1"/>
      <c r="L8" s="1"/>
      <c r="M8" s="1"/>
      <c r="N8" s="1"/>
      <c r="O8" s="1"/>
      <c r="P8" s="1"/>
      <c r="Q8" s="1"/>
      <c r="R8" s="1"/>
      <c r="S8" s="1"/>
      <c r="T8" s="1"/>
      <c r="U8" s="1"/>
      <c r="V8" s="1"/>
      <c r="W8" s="1"/>
      <c r="X8" s="1"/>
      <c r="Y8" s="1"/>
      <c r="Z8" s="1"/>
    </row>
    <row r="9">
      <c r="A9" s="1"/>
      <c r="B9" s="12" t="s">
        <v>31</v>
      </c>
      <c r="C9" s="12" t="s">
        <v>83</v>
      </c>
      <c r="D9" s="1"/>
      <c r="E9" s="1"/>
      <c r="F9" s="1"/>
      <c r="G9" s="1"/>
      <c r="H9" s="1"/>
      <c r="I9" s="1"/>
      <c r="J9" s="1"/>
      <c r="K9" s="1"/>
      <c r="L9" s="1"/>
      <c r="M9" s="1"/>
      <c r="N9" s="1"/>
      <c r="O9" s="1"/>
      <c r="P9" s="1"/>
      <c r="Q9" s="1"/>
      <c r="R9" s="1"/>
      <c r="S9" s="1"/>
      <c r="T9" s="1"/>
      <c r="U9" s="1"/>
      <c r="V9" s="1"/>
      <c r="W9" s="1"/>
      <c r="X9" s="1"/>
      <c r="Y9" s="1"/>
      <c r="Z9" s="1"/>
    </row>
    <row r="10">
      <c r="A10" s="1"/>
      <c r="B10" s="12" t="s">
        <v>84</v>
      </c>
      <c r="C10" s="12" t="s">
        <v>85</v>
      </c>
      <c r="D10" s="1"/>
      <c r="E10" s="1"/>
      <c r="F10" s="1"/>
      <c r="G10" s="1"/>
      <c r="H10" s="1"/>
      <c r="I10" s="1"/>
      <c r="J10" s="1"/>
      <c r="K10" s="1"/>
      <c r="L10" s="1"/>
      <c r="M10" s="1"/>
      <c r="N10" s="1"/>
      <c r="O10" s="1"/>
      <c r="P10" s="1"/>
      <c r="Q10" s="1"/>
      <c r="R10" s="1"/>
      <c r="S10" s="1"/>
      <c r="T10" s="1"/>
      <c r="U10" s="1"/>
      <c r="V10" s="1"/>
      <c r="W10" s="1"/>
      <c r="X10" s="1"/>
      <c r="Y10" s="1"/>
      <c r="Z10" s="1"/>
    </row>
    <row r="11">
      <c r="A11" s="1"/>
      <c r="B11" s="12" t="s">
        <v>32</v>
      </c>
      <c r="C11" s="12" t="s">
        <v>86</v>
      </c>
      <c r="D11" s="1"/>
      <c r="E11" s="1"/>
      <c r="F11" s="1"/>
      <c r="G11" s="1"/>
      <c r="H11" s="1"/>
      <c r="I11" s="1"/>
      <c r="J11" s="1"/>
      <c r="K11" s="1"/>
      <c r="L11" s="1"/>
      <c r="M11" s="1"/>
      <c r="N11" s="1"/>
      <c r="O11" s="1"/>
      <c r="P11" s="1"/>
      <c r="Q11" s="1"/>
      <c r="R11" s="1"/>
      <c r="S11" s="1"/>
      <c r="T11" s="1"/>
      <c r="U11" s="1"/>
      <c r="V11" s="1"/>
      <c r="W11" s="1"/>
      <c r="X11" s="1"/>
      <c r="Y11" s="1"/>
      <c r="Z11" s="1"/>
    </row>
    <row r="12">
      <c r="A12" s="1"/>
      <c r="B12" s="12" t="s">
        <v>33</v>
      </c>
      <c r="C12" s="12" t="s">
        <v>87</v>
      </c>
      <c r="D12" s="1"/>
      <c r="E12" s="1"/>
      <c r="F12" s="1"/>
      <c r="G12" s="1"/>
      <c r="H12" s="1"/>
      <c r="I12" s="1"/>
      <c r="J12" s="1"/>
      <c r="K12" s="1"/>
      <c r="L12" s="1"/>
      <c r="M12" s="1"/>
      <c r="N12" s="1"/>
      <c r="O12" s="1"/>
      <c r="P12" s="1"/>
      <c r="Q12" s="1"/>
      <c r="R12" s="1"/>
      <c r="S12" s="1"/>
      <c r="T12" s="1"/>
      <c r="U12" s="1"/>
      <c r="V12" s="1"/>
      <c r="W12" s="1"/>
      <c r="X12" s="1"/>
      <c r="Y12" s="1"/>
      <c r="Z12" s="1"/>
    </row>
    <row r="13">
      <c r="A13" s="1"/>
      <c r="B13" s="12" t="s">
        <v>23</v>
      </c>
      <c r="C13" s="12" t="s">
        <v>88</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